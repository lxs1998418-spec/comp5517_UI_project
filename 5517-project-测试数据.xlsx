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160" windowHeight="9180"/>
  </bookViews>
  <sheets>
    <sheet name="插入数据" sheetId="1" r:id="rId1"/>
    <sheet name="不插入" sheetId="2" r:id="rId2"/>
    <sheet name="不插入2" sheetId="3" r:id="rId3"/>
  </sheets>
  <definedNames>
    <definedName name="_xlnm._FilterDatabase" localSheetId="0" hidden="1">插入数据!$A$1:$A$51</definedName>
    <definedName name="_xlnm._FilterDatabase" localSheetId="1" hidden="1">不插入!$A$1:$A$50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<sst xmlns="http://schemas.openxmlformats.org/spreadsheetml/2006/main" count="253" uniqueCount="70">
  <si>
    <t>版本</t>
  </si>
  <si>
    <t>开始时间</t>
  </si>
  <si>
    <t>完成时间</t>
  </si>
  <si>
    <t>耗时(分)</t>
  </si>
  <si>
    <t>确认码</t>
  </si>
  <si>
    <t>心理需求</t>
  </si>
  <si>
    <t>体力需求</t>
  </si>
  <si>
    <t>时间压力</t>
  </si>
  <si>
    <t>自身表现</t>
  </si>
  <si>
    <t>努力程度</t>
  </si>
  <si>
    <t>挫败感</t>
  </si>
  <si>
    <t>对照版</t>
  </si>
  <si>
    <t>7F3A9D1B</t>
  </si>
  <si>
    <t>优化版</t>
  </si>
  <si>
    <t>A4C8E2D5</t>
  </si>
  <si>
    <t>2B9E5D8C</t>
  </si>
  <si>
    <t>D1E7F3A9</t>
  </si>
  <si>
    <t>5C8A1E4D</t>
  </si>
  <si>
    <t>9B3D7F1A</t>
  </si>
  <si>
    <t>3E6B9D2C</t>
  </si>
  <si>
    <t>F2A5C8E1</t>
  </si>
  <si>
    <t>8D1F4B7A</t>
  </si>
  <si>
    <t>6C9E3A2D</t>
  </si>
  <si>
    <t>1B7D5F9C</t>
  </si>
  <si>
    <t>E4A2D6B9</t>
  </si>
  <si>
    <t>7C3F8A1D</t>
  </si>
  <si>
    <t>9A2C7E4B</t>
  </si>
  <si>
    <t>3D8B1F6C</t>
  </si>
  <si>
    <t>F1E5B9D2</t>
  </si>
  <si>
    <t>6A4C8E3B</t>
  </si>
  <si>
    <t>2E7B9D1F</t>
  </si>
  <si>
    <t>C5A9E2D8</t>
  </si>
  <si>
    <t>8F3B6D2A</t>
  </si>
  <si>
    <t>1D9E4A7C</t>
  </si>
  <si>
    <t>B8D2F4A7</t>
  </si>
  <si>
    <t>4E7A9C1D</t>
  </si>
  <si>
    <t>3F9B5C8A</t>
  </si>
  <si>
    <t>D6B8E1A4</t>
  </si>
  <si>
    <t>9C1E5A3D</t>
  </si>
  <si>
    <t>5A8D2F4B</t>
  </si>
  <si>
    <t>2B7E9C1D</t>
  </si>
  <si>
    <t>E3A9F1C5</t>
  </si>
  <si>
    <t>7D4B8E2A</t>
  </si>
  <si>
    <t>1F6C9A3E</t>
  </si>
  <si>
    <t>8B3D5F1C</t>
  </si>
  <si>
    <t>C4E8A2D7</t>
  </si>
  <si>
    <t>6D2A9B4E</t>
  </si>
  <si>
    <t>9E3A7C1F</t>
  </si>
  <si>
    <t>4B8D1F3A</t>
  </si>
  <si>
    <t>2C7E9B4D</t>
  </si>
  <si>
    <t>F5A1D8E3</t>
  </si>
  <si>
    <t>3B9D6A2C</t>
  </si>
  <si>
    <t>A8E2C4F1</t>
  </si>
  <si>
    <t>7C1E5A9D</t>
  </si>
  <si>
    <t>5F9B2D7A</t>
  </si>
  <si>
    <t>D3B8E1A5</t>
  </si>
  <si>
    <t>1A9E4C7F</t>
  </si>
  <si>
    <t>6B2D9F4C</t>
  </si>
  <si>
    <t>E7A1C5F3</t>
  </si>
  <si>
    <t>8D2F4B9A</t>
  </si>
  <si>
    <t>7E6A5C6B</t>
  </si>
  <si>
    <t>9D9F8E7A</t>
  </si>
  <si>
    <t>5B9D1E4A</t>
  </si>
  <si>
    <t>平均</t>
  </si>
  <si>
    <t>all</t>
  </si>
  <si>
    <t>标准差</t>
  </si>
  <si>
    <t>NASA-TLX平均得分</t>
  </si>
  <si>
    <t>对照版（24条）</t>
  </si>
  <si>
    <t>优化版（25条）</t>
  </si>
  <si>
    <t>all（49条）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</si>
</sst>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4">
    <font>
      <sz val="11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b/>
      <sz val="10.5"/>
      <color rgb="FF000000"/>
      <name val="宋体"/>
      <charset val="134"/>
      <scheme val="minor"/>
    </font>
    <font>
      <sz val="10.5"/>
      <color rgb="FF000000"/>
      <name val="宋体"/>
      <charset val="134"/>
      <scheme val="minor"/>
    </font>
    <font>
      <sz val="12"/>
      <color rgb="FF1C1F2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22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22" fontId="3" fillId="2" borderId="1" xfId="0" applyNumberFormat="1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0" borderId="1" xfId="0" applyFont="1" applyBorder="1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1"/>
  <sheetViews>
    <sheetView tabSelected="1" workbookViewId="0">
      <selection activeCell="B7" sqref="B7"/>
    </sheetView>
  </sheetViews>
  <sheetFormatPr defaultColWidth="9.23076923076923" defaultRowHeight="16.8"/>
  <cols>
    <col min="1" max="1" width="24.9903846153846" style="5" customWidth="1"/>
    <col min="2" max="2" width="37.9711538461538" style="5" customWidth="1"/>
    <col min="3" max="3" width="34.7692307692308" style="5" customWidth="1"/>
    <col min="4" max="4" width="14.1057692307692" style="5" customWidth="1"/>
    <col min="5" max="11" width="9.23076923076923" style="5"/>
  </cols>
  <sheetData>
    <row r="1" spans="1:1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ht="32" spans="1:18">
      <c r="A2" s="7" t="s">
        <v>11</v>
      </c>
      <c r="B2" s="8">
        <v>45964.5940046296</v>
      </c>
      <c r="C2" s="1">
        <v>45964.5964236111</v>
      </c>
      <c r="D2" s="7">
        <f t="shared" ref="D2:D50" si="0">(C2-B2)*24*60</f>
        <v>3.48333333036862</v>
      </c>
      <c r="E2" s="7" t="s">
        <v>12</v>
      </c>
      <c r="F2" s="7">
        <v>50</v>
      </c>
      <c r="G2" s="7">
        <v>75</v>
      </c>
      <c r="H2" s="7">
        <v>50</v>
      </c>
      <c r="I2" s="7">
        <v>50</v>
      </c>
      <c r="J2" s="7">
        <v>50</v>
      </c>
      <c r="K2" s="7">
        <v>50</v>
      </c>
      <c r="L2" s="5"/>
      <c r="M2" s="5"/>
      <c r="N2" s="5"/>
      <c r="O2" s="5"/>
      <c r="P2" s="5"/>
      <c r="Q2" s="5"/>
      <c r="R2" s="5"/>
    </row>
    <row r="3" ht="32" spans="1:11">
      <c r="A3" s="7" t="s">
        <v>13</v>
      </c>
      <c r="B3" s="8">
        <v>45964.6528703704</v>
      </c>
      <c r="C3" s="3">
        <v>45964.6545949074</v>
      </c>
      <c r="D3" s="7">
        <f t="shared" si="0"/>
        <v>2.48333332710899</v>
      </c>
      <c r="E3" s="7" t="s">
        <v>14</v>
      </c>
      <c r="F3" s="7">
        <v>50</v>
      </c>
      <c r="G3" s="7">
        <v>100</v>
      </c>
      <c r="H3" s="7">
        <v>75</v>
      </c>
      <c r="I3" s="7">
        <v>25</v>
      </c>
      <c r="J3" s="7">
        <v>50</v>
      </c>
      <c r="K3" s="7">
        <v>75</v>
      </c>
    </row>
    <row r="4" ht="32" spans="1:11">
      <c r="A4" s="7" t="s">
        <v>13</v>
      </c>
      <c r="B4" s="8">
        <v>45964.6809375</v>
      </c>
      <c r="C4" s="3">
        <v>45964.6813773148</v>
      </c>
      <c r="D4" s="7">
        <f t="shared" si="0"/>
        <v>0.633333324221894</v>
      </c>
      <c r="E4" s="7" t="s">
        <v>15</v>
      </c>
      <c r="F4" s="7">
        <v>75</v>
      </c>
      <c r="G4" s="7">
        <v>100</v>
      </c>
      <c r="H4" s="7">
        <v>75</v>
      </c>
      <c r="I4" s="7">
        <v>100</v>
      </c>
      <c r="J4" s="7">
        <v>100</v>
      </c>
      <c r="K4" s="7">
        <v>75</v>
      </c>
    </row>
    <row r="5" ht="32" spans="1:11">
      <c r="A5" s="7" t="s">
        <v>11</v>
      </c>
      <c r="B5" s="8">
        <v>45965.3404513889</v>
      </c>
      <c r="C5" s="1">
        <v>45965.3428703704</v>
      </c>
      <c r="D5" s="7">
        <f t="shared" si="0"/>
        <v>3.483333340846</v>
      </c>
      <c r="E5" s="7" t="s">
        <v>16</v>
      </c>
      <c r="F5" s="7">
        <v>75</v>
      </c>
      <c r="G5" s="7">
        <v>100</v>
      </c>
      <c r="H5" s="7">
        <v>100</v>
      </c>
      <c r="I5" s="7">
        <v>0</v>
      </c>
      <c r="J5" s="7">
        <v>75</v>
      </c>
      <c r="K5" s="7">
        <v>75</v>
      </c>
    </row>
    <row r="6" ht="32" spans="1:11">
      <c r="A6" s="7" t="s">
        <v>13</v>
      </c>
      <c r="B6" s="8">
        <v>45965.3788194444</v>
      </c>
      <c r="C6" s="3">
        <v>45965.3789351852</v>
      </c>
      <c r="D6" s="7">
        <f t="shared" si="0"/>
        <v>0.166666674194857</v>
      </c>
      <c r="E6" s="7" t="s">
        <v>17</v>
      </c>
      <c r="F6" s="7">
        <v>50</v>
      </c>
      <c r="G6" s="7">
        <v>75</v>
      </c>
      <c r="H6" s="7">
        <v>50</v>
      </c>
      <c r="I6" s="7">
        <v>50</v>
      </c>
      <c r="J6" s="7">
        <v>50</v>
      </c>
      <c r="K6" s="7">
        <v>75</v>
      </c>
    </row>
    <row r="7" ht="32" spans="1:11">
      <c r="A7" s="7" t="s">
        <v>13</v>
      </c>
      <c r="B7" s="8">
        <v>45965.3838773148</v>
      </c>
      <c r="C7" s="3">
        <v>45965.3852893518</v>
      </c>
      <c r="D7" s="7">
        <f t="shared" si="0"/>
        <v>2.0333333266899</v>
      </c>
      <c r="E7" s="7" t="s">
        <v>18</v>
      </c>
      <c r="F7" s="7">
        <v>75</v>
      </c>
      <c r="G7" s="7">
        <v>100</v>
      </c>
      <c r="H7" s="7">
        <v>75</v>
      </c>
      <c r="I7" s="7">
        <v>25</v>
      </c>
      <c r="J7" s="7">
        <v>75</v>
      </c>
      <c r="K7" s="7">
        <v>50</v>
      </c>
    </row>
    <row r="8" ht="32" spans="1:11">
      <c r="A8" s="7" t="s">
        <v>13</v>
      </c>
      <c r="B8" s="8">
        <v>45965.3890625</v>
      </c>
      <c r="C8" s="3">
        <v>45965.390162037</v>
      </c>
      <c r="D8" s="7">
        <f t="shared" si="0"/>
        <v>1.58333333674818</v>
      </c>
      <c r="E8" s="7" t="s">
        <v>19</v>
      </c>
      <c r="F8" s="7">
        <v>100</v>
      </c>
      <c r="G8" s="7">
        <v>100</v>
      </c>
      <c r="H8" s="7">
        <v>100</v>
      </c>
      <c r="I8" s="7">
        <v>100</v>
      </c>
      <c r="J8" s="7">
        <v>50</v>
      </c>
      <c r="K8" s="7">
        <v>50</v>
      </c>
    </row>
    <row r="9" ht="32" spans="1:11">
      <c r="A9" s="7" t="s">
        <v>13</v>
      </c>
      <c r="B9" s="8">
        <v>45965.3950578704</v>
      </c>
      <c r="C9" s="3">
        <v>45965.396087963</v>
      </c>
      <c r="D9" s="7">
        <f t="shared" si="0"/>
        <v>1.48333332384937</v>
      </c>
      <c r="E9" s="7" t="s">
        <v>20</v>
      </c>
      <c r="F9" s="7">
        <v>75</v>
      </c>
      <c r="G9" s="7">
        <v>75</v>
      </c>
      <c r="H9" s="7">
        <v>75</v>
      </c>
      <c r="I9" s="7">
        <v>25</v>
      </c>
      <c r="J9" s="7">
        <v>75</v>
      </c>
      <c r="K9" s="7">
        <v>75</v>
      </c>
    </row>
    <row r="10" ht="32" spans="1:11">
      <c r="A10" s="7" t="s">
        <v>11</v>
      </c>
      <c r="B10" s="8">
        <v>45965.3997685185</v>
      </c>
      <c r="C10" s="1">
        <v>45965.4013657407</v>
      </c>
      <c r="D10" s="7">
        <f t="shared" si="0"/>
        <v>2.3000000033062</v>
      </c>
      <c r="E10" s="7" t="s">
        <v>21</v>
      </c>
      <c r="F10" s="7">
        <v>100</v>
      </c>
      <c r="G10" s="7">
        <v>75</v>
      </c>
      <c r="H10" s="7">
        <v>100</v>
      </c>
      <c r="I10" s="7">
        <v>0</v>
      </c>
      <c r="J10" s="7">
        <v>100</v>
      </c>
      <c r="K10" s="7">
        <v>75</v>
      </c>
    </row>
    <row r="11" ht="32" spans="1:11">
      <c r="A11" s="7" t="s">
        <v>11</v>
      </c>
      <c r="B11" s="8">
        <v>45965.4043518519</v>
      </c>
      <c r="C11" s="1">
        <v>45965.4066550926</v>
      </c>
      <c r="D11" s="7">
        <f t="shared" si="0"/>
        <v>3.31666666665114</v>
      </c>
      <c r="E11" s="7" t="s">
        <v>22</v>
      </c>
      <c r="F11" s="7">
        <v>100</v>
      </c>
      <c r="G11" s="7">
        <v>100</v>
      </c>
      <c r="H11" s="7">
        <v>75</v>
      </c>
      <c r="I11" s="7">
        <v>0</v>
      </c>
      <c r="J11" s="7">
        <v>100</v>
      </c>
      <c r="K11" s="7">
        <v>75</v>
      </c>
    </row>
    <row r="12" ht="32" spans="1:11">
      <c r="A12" s="7" t="s">
        <v>11</v>
      </c>
      <c r="B12" s="8">
        <v>45965.4097800926</v>
      </c>
      <c r="C12" s="1">
        <v>45965.4110300926</v>
      </c>
      <c r="D12" s="7">
        <f t="shared" si="0"/>
        <v>1.80000000167638</v>
      </c>
      <c r="E12" s="7" t="s">
        <v>23</v>
      </c>
      <c r="F12" s="7">
        <v>100</v>
      </c>
      <c r="G12" s="7">
        <v>75</v>
      </c>
      <c r="H12" s="7">
        <v>50</v>
      </c>
      <c r="I12" s="7">
        <v>0</v>
      </c>
      <c r="J12" s="7">
        <v>100</v>
      </c>
      <c r="K12" s="7">
        <v>100</v>
      </c>
    </row>
    <row r="13" ht="32" spans="1:11">
      <c r="A13" s="7" t="s">
        <v>13</v>
      </c>
      <c r="B13" s="8">
        <v>45965.4134375</v>
      </c>
      <c r="C13" s="3">
        <v>45965.4158564815</v>
      </c>
      <c r="D13" s="7">
        <f t="shared" si="0"/>
        <v>3.48333333036862</v>
      </c>
      <c r="E13" s="7" t="s">
        <v>24</v>
      </c>
      <c r="F13" s="7">
        <v>75</v>
      </c>
      <c r="G13" s="7">
        <v>75</v>
      </c>
      <c r="H13" s="7">
        <v>75</v>
      </c>
      <c r="I13" s="7">
        <v>25</v>
      </c>
      <c r="J13" s="7">
        <v>100</v>
      </c>
      <c r="K13" s="7">
        <v>100</v>
      </c>
    </row>
    <row r="14" ht="32" spans="1:11">
      <c r="A14" s="7" t="s">
        <v>11</v>
      </c>
      <c r="B14" s="8">
        <v>45965.4198842593</v>
      </c>
      <c r="C14" s="1">
        <v>45965.4212152778</v>
      </c>
      <c r="D14" s="7">
        <f t="shared" si="0"/>
        <v>1.91666667466052</v>
      </c>
      <c r="E14" s="7" t="s">
        <v>25</v>
      </c>
      <c r="F14" s="7">
        <v>100</v>
      </c>
      <c r="G14" s="7">
        <v>100</v>
      </c>
      <c r="H14" s="7">
        <v>75</v>
      </c>
      <c r="I14" s="7">
        <v>25</v>
      </c>
      <c r="J14" s="7">
        <v>100</v>
      </c>
      <c r="K14" s="7">
        <v>100</v>
      </c>
    </row>
    <row r="15" ht="32" spans="1:11">
      <c r="A15" s="7" t="s">
        <v>11</v>
      </c>
      <c r="B15" s="8">
        <v>45965.4294791667</v>
      </c>
      <c r="C15" s="1">
        <v>45965.4310416667</v>
      </c>
      <c r="D15" s="7">
        <f t="shared" si="0"/>
        <v>2.25000000209548</v>
      </c>
      <c r="E15" s="7" t="s">
        <v>26</v>
      </c>
      <c r="F15" s="7">
        <v>100</v>
      </c>
      <c r="G15" s="7">
        <v>100</v>
      </c>
      <c r="H15" s="7">
        <v>100</v>
      </c>
      <c r="I15" s="7">
        <v>0</v>
      </c>
      <c r="J15" s="7">
        <v>100</v>
      </c>
      <c r="K15" s="7">
        <v>100</v>
      </c>
    </row>
    <row r="16" ht="32" spans="1:11">
      <c r="A16" s="7" t="s">
        <v>13</v>
      </c>
      <c r="B16" s="8">
        <v>45965.4341435185</v>
      </c>
      <c r="C16" s="3">
        <v>45965.4365625</v>
      </c>
      <c r="D16" s="7">
        <f t="shared" si="0"/>
        <v>3.48333333036862</v>
      </c>
      <c r="E16" s="7" t="s">
        <v>27</v>
      </c>
      <c r="F16" s="7">
        <v>75</v>
      </c>
      <c r="G16" s="7">
        <v>75</v>
      </c>
      <c r="H16" s="7">
        <v>75</v>
      </c>
      <c r="I16" s="7">
        <v>0</v>
      </c>
      <c r="J16" s="7">
        <v>75</v>
      </c>
      <c r="K16" s="7">
        <v>100</v>
      </c>
    </row>
    <row r="17" ht="32" spans="1:11">
      <c r="A17" s="7" t="s">
        <v>13</v>
      </c>
      <c r="B17" s="8">
        <v>45965.4394097222</v>
      </c>
      <c r="C17" s="3">
        <v>45965.4412037037</v>
      </c>
      <c r="D17" s="7">
        <f t="shared" si="0"/>
        <v>2.58333332953043</v>
      </c>
      <c r="E17" s="7" t="s">
        <v>28</v>
      </c>
      <c r="F17" s="7">
        <v>50</v>
      </c>
      <c r="G17" s="7">
        <v>50</v>
      </c>
      <c r="H17" s="7">
        <v>50</v>
      </c>
      <c r="I17" s="7">
        <v>50</v>
      </c>
      <c r="J17" s="7">
        <v>50</v>
      </c>
      <c r="K17" s="7">
        <v>50</v>
      </c>
    </row>
    <row r="18" ht="32" spans="1:11">
      <c r="A18" s="7" t="s">
        <v>13</v>
      </c>
      <c r="B18" s="8">
        <v>45965.4439583333</v>
      </c>
      <c r="C18" s="3">
        <v>45965.4457986111</v>
      </c>
      <c r="D18" s="7">
        <f t="shared" si="0"/>
        <v>2.64999999082647</v>
      </c>
      <c r="E18" s="7" t="s">
        <v>29</v>
      </c>
      <c r="F18" s="7">
        <v>75</v>
      </c>
      <c r="G18" s="7">
        <v>50</v>
      </c>
      <c r="H18" s="7">
        <v>75</v>
      </c>
      <c r="I18" s="7">
        <v>50</v>
      </c>
      <c r="J18" s="7">
        <v>50</v>
      </c>
      <c r="K18" s="7">
        <v>75</v>
      </c>
    </row>
    <row r="19" ht="32" spans="1:11">
      <c r="A19" s="7" t="s">
        <v>11</v>
      </c>
      <c r="B19" s="8">
        <v>45965.4492476852</v>
      </c>
      <c r="C19" s="1">
        <v>45965.4510763889</v>
      </c>
      <c r="D19" s="7">
        <f t="shared" si="0"/>
        <v>2.63333333074115</v>
      </c>
      <c r="E19" s="7" t="s">
        <v>30</v>
      </c>
      <c r="F19" s="7">
        <v>100</v>
      </c>
      <c r="G19" s="7">
        <v>50</v>
      </c>
      <c r="H19" s="7">
        <v>100</v>
      </c>
      <c r="I19" s="7">
        <v>0</v>
      </c>
      <c r="J19" s="7">
        <v>75</v>
      </c>
      <c r="K19" s="7">
        <v>100</v>
      </c>
    </row>
    <row r="20" ht="32" spans="1:11">
      <c r="A20" s="7" t="s">
        <v>13</v>
      </c>
      <c r="B20" s="8">
        <v>45965.453125</v>
      </c>
      <c r="C20" s="3">
        <v>45965.4551041667</v>
      </c>
      <c r="D20" s="7">
        <f t="shared" si="0"/>
        <v>2.84999999566935</v>
      </c>
      <c r="E20" s="7" t="s">
        <v>31</v>
      </c>
      <c r="F20" s="7">
        <v>100</v>
      </c>
      <c r="G20" s="7">
        <v>100</v>
      </c>
      <c r="H20" s="7">
        <v>100</v>
      </c>
      <c r="I20" s="7">
        <v>0</v>
      </c>
      <c r="J20" s="7">
        <v>75</v>
      </c>
      <c r="K20" s="7">
        <v>75</v>
      </c>
    </row>
    <row r="21" ht="32" spans="1:11">
      <c r="A21" s="7" t="s">
        <v>13</v>
      </c>
      <c r="B21" s="8">
        <v>45965.4574537037</v>
      </c>
      <c r="C21" s="3">
        <v>45965.4595949074</v>
      </c>
      <c r="D21" s="7">
        <f t="shared" si="0"/>
        <v>3.08333333116025</v>
      </c>
      <c r="E21" s="7" t="s">
        <v>32</v>
      </c>
      <c r="F21" s="7">
        <v>75</v>
      </c>
      <c r="G21" s="7">
        <v>50</v>
      </c>
      <c r="H21" s="7">
        <v>50</v>
      </c>
      <c r="I21" s="7">
        <v>0</v>
      </c>
      <c r="J21" s="7">
        <v>75</v>
      </c>
      <c r="K21" s="7">
        <v>75</v>
      </c>
    </row>
    <row r="22" ht="32" spans="1:11">
      <c r="A22" s="7" t="s">
        <v>11</v>
      </c>
      <c r="B22" s="8">
        <v>45965.4620023148</v>
      </c>
      <c r="C22" s="1">
        <v>45965.4644212963</v>
      </c>
      <c r="D22" s="7">
        <f t="shared" si="0"/>
        <v>3.48333333036862</v>
      </c>
      <c r="E22" s="7" t="s">
        <v>33</v>
      </c>
      <c r="F22" s="7">
        <v>100</v>
      </c>
      <c r="G22" s="7">
        <v>75</v>
      </c>
      <c r="H22" s="7">
        <v>100</v>
      </c>
      <c r="I22" s="7">
        <v>0</v>
      </c>
      <c r="J22" s="7">
        <v>100</v>
      </c>
      <c r="K22" s="7">
        <v>100</v>
      </c>
    </row>
    <row r="23" ht="32" spans="1:11">
      <c r="A23" s="7" t="s">
        <v>13</v>
      </c>
      <c r="B23" s="8">
        <v>45965.4671180556</v>
      </c>
      <c r="C23" s="3">
        <v>45965.468912037</v>
      </c>
      <c r="D23" s="7">
        <f t="shared" si="0"/>
        <v>2.58333332953043</v>
      </c>
      <c r="E23" s="7" t="s">
        <v>34</v>
      </c>
      <c r="F23" s="7">
        <v>75</v>
      </c>
      <c r="G23" s="7">
        <v>75</v>
      </c>
      <c r="H23" s="7">
        <v>75</v>
      </c>
      <c r="I23" s="7">
        <v>25</v>
      </c>
      <c r="J23" s="7">
        <v>75</v>
      </c>
      <c r="K23" s="7">
        <v>75</v>
      </c>
    </row>
    <row r="24" ht="32" spans="1:11">
      <c r="A24" s="7" t="s">
        <v>13</v>
      </c>
      <c r="B24" s="8">
        <v>45965.4711226852</v>
      </c>
      <c r="C24" s="3">
        <v>45965.4721990741</v>
      </c>
      <c r="D24" s="7">
        <f t="shared" si="0"/>
        <v>1.54999999562278</v>
      </c>
      <c r="E24" s="7" t="s">
        <v>35</v>
      </c>
      <c r="F24" s="7">
        <v>75</v>
      </c>
      <c r="G24" s="7">
        <v>75</v>
      </c>
      <c r="H24" s="7">
        <v>75</v>
      </c>
      <c r="I24" s="7">
        <v>25</v>
      </c>
      <c r="J24" s="7">
        <v>75</v>
      </c>
      <c r="K24" s="7">
        <v>75</v>
      </c>
    </row>
    <row r="25" ht="32" spans="1:11">
      <c r="A25" s="7" t="s">
        <v>13</v>
      </c>
      <c r="B25" s="8">
        <v>45965.4769675926</v>
      </c>
      <c r="C25" s="3">
        <v>45965.4780671296</v>
      </c>
      <c r="D25" s="7">
        <f t="shared" si="0"/>
        <v>1.5833333262708</v>
      </c>
      <c r="E25" s="7" t="s">
        <v>36</v>
      </c>
      <c r="F25" s="7">
        <v>75</v>
      </c>
      <c r="G25" s="7">
        <v>75</v>
      </c>
      <c r="H25" s="7">
        <v>50</v>
      </c>
      <c r="I25" s="7">
        <v>100</v>
      </c>
      <c r="J25" s="7">
        <v>50</v>
      </c>
      <c r="K25" s="7">
        <v>50</v>
      </c>
    </row>
    <row r="26" ht="32" spans="1:11">
      <c r="A26" s="7" t="s">
        <v>11</v>
      </c>
      <c r="B26" s="8">
        <v>45965.4807291667</v>
      </c>
      <c r="C26" s="1">
        <v>45965.4830671296</v>
      </c>
      <c r="D26" s="7">
        <f t="shared" si="0"/>
        <v>3.36666666786186</v>
      </c>
      <c r="E26" s="7" t="s">
        <v>37</v>
      </c>
      <c r="F26" s="7">
        <v>100</v>
      </c>
      <c r="G26" s="7">
        <v>100</v>
      </c>
      <c r="H26" s="7">
        <v>75</v>
      </c>
      <c r="I26" s="7">
        <v>0</v>
      </c>
      <c r="J26" s="7">
        <v>100</v>
      </c>
      <c r="K26" s="7">
        <v>50</v>
      </c>
    </row>
    <row r="27" ht="32" spans="1:11">
      <c r="A27" s="7" t="s">
        <v>13</v>
      </c>
      <c r="B27" s="8">
        <v>45965.4862037037</v>
      </c>
      <c r="C27" s="3">
        <v>45965.4880324074</v>
      </c>
      <c r="D27" s="7">
        <f t="shared" si="0"/>
        <v>2.63333333074115</v>
      </c>
      <c r="E27" s="7" t="s">
        <v>38</v>
      </c>
      <c r="F27" s="7">
        <v>0</v>
      </c>
      <c r="G27" s="7">
        <v>0</v>
      </c>
      <c r="H27" s="7">
        <v>50</v>
      </c>
      <c r="I27" s="7">
        <v>25</v>
      </c>
      <c r="J27" s="7">
        <v>50</v>
      </c>
      <c r="K27" s="7">
        <v>50</v>
      </c>
    </row>
    <row r="28" ht="32" spans="1:11">
      <c r="A28" s="7" t="s">
        <v>11</v>
      </c>
      <c r="B28" s="8">
        <v>45965.5559375</v>
      </c>
      <c r="C28" s="1">
        <v>45965.5583333333</v>
      </c>
      <c r="D28" s="7">
        <f t="shared" si="0"/>
        <v>3.4499999997206</v>
      </c>
      <c r="E28" s="7" t="s">
        <v>39</v>
      </c>
      <c r="F28" s="7">
        <v>100</v>
      </c>
      <c r="G28" s="7">
        <v>100</v>
      </c>
      <c r="H28" s="7">
        <v>75</v>
      </c>
      <c r="I28" s="7">
        <v>0</v>
      </c>
      <c r="J28" s="7">
        <v>100</v>
      </c>
      <c r="K28" s="7">
        <v>100</v>
      </c>
    </row>
    <row r="29" ht="32" spans="1:11">
      <c r="A29" s="7" t="s">
        <v>11</v>
      </c>
      <c r="B29" s="8">
        <v>45965.5873726852</v>
      </c>
      <c r="C29" s="1">
        <v>45965.5883101852</v>
      </c>
      <c r="D29" s="7">
        <f t="shared" si="0"/>
        <v>1.35000000125729</v>
      </c>
      <c r="E29" s="7" t="s">
        <v>40</v>
      </c>
      <c r="F29" s="7">
        <v>100</v>
      </c>
      <c r="G29" s="7">
        <v>75</v>
      </c>
      <c r="H29" s="7">
        <v>50</v>
      </c>
      <c r="I29" s="7">
        <v>0</v>
      </c>
      <c r="J29" s="7">
        <v>100</v>
      </c>
      <c r="K29" s="7">
        <v>100</v>
      </c>
    </row>
    <row r="30" ht="32" spans="1:11">
      <c r="A30" s="7" t="s">
        <v>13</v>
      </c>
      <c r="B30" s="8">
        <v>45965.6459722222</v>
      </c>
      <c r="C30" s="3">
        <v>45965.6472800926</v>
      </c>
      <c r="D30" s="7">
        <f t="shared" si="0"/>
        <v>1.88333333353512</v>
      </c>
      <c r="E30" s="7" t="s">
        <v>41</v>
      </c>
      <c r="F30" s="7">
        <v>75</v>
      </c>
      <c r="G30" s="7">
        <v>75</v>
      </c>
      <c r="H30" s="7">
        <v>75</v>
      </c>
      <c r="I30" s="7">
        <v>25</v>
      </c>
      <c r="J30" s="7">
        <v>50</v>
      </c>
      <c r="K30" s="7">
        <v>75</v>
      </c>
    </row>
    <row r="31" ht="32" spans="1:11">
      <c r="A31" s="7" t="s">
        <v>11</v>
      </c>
      <c r="B31" s="8">
        <v>45965.6774074074</v>
      </c>
      <c r="C31" s="1">
        <v>45965.6792361111</v>
      </c>
      <c r="D31" s="7">
        <f t="shared" si="0"/>
        <v>2.63333334121853</v>
      </c>
      <c r="E31" s="7" t="s">
        <v>42</v>
      </c>
      <c r="F31" s="7">
        <v>100</v>
      </c>
      <c r="G31" s="7">
        <v>100</v>
      </c>
      <c r="H31" s="7">
        <v>100</v>
      </c>
      <c r="I31" s="7">
        <v>0</v>
      </c>
      <c r="J31" s="7">
        <v>100</v>
      </c>
      <c r="K31" s="7">
        <v>75</v>
      </c>
    </row>
    <row r="32" ht="32" spans="1:11">
      <c r="A32" s="7" t="s">
        <v>11</v>
      </c>
      <c r="B32" s="8">
        <v>45965.7124305556</v>
      </c>
      <c r="C32" s="1">
        <v>45965.715</v>
      </c>
      <c r="D32" s="7">
        <f t="shared" si="0"/>
        <v>3.7000000057742</v>
      </c>
      <c r="E32" s="7" t="s">
        <v>43</v>
      </c>
      <c r="F32" s="7">
        <v>100</v>
      </c>
      <c r="G32" s="7">
        <v>75</v>
      </c>
      <c r="H32" s="7">
        <v>100</v>
      </c>
      <c r="I32" s="7">
        <v>0</v>
      </c>
      <c r="J32" s="7">
        <v>75</v>
      </c>
      <c r="K32" s="7">
        <v>100</v>
      </c>
    </row>
    <row r="33" ht="32" spans="1:11">
      <c r="A33" s="7" t="s">
        <v>11</v>
      </c>
      <c r="B33" s="8">
        <v>45965.765474537</v>
      </c>
      <c r="C33" s="1">
        <v>45965.767962963</v>
      </c>
      <c r="D33" s="7">
        <f t="shared" si="0"/>
        <v>3.58333333279006</v>
      </c>
      <c r="E33" s="7" t="s">
        <v>44</v>
      </c>
      <c r="F33" s="7">
        <v>100</v>
      </c>
      <c r="G33" s="7">
        <v>100</v>
      </c>
      <c r="H33" s="7">
        <v>100</v>
      </c>
      <c r="I33" s="7">
        <v>0</v>
      </c>
      <c r="J33" s="7">
        <v>75</v>
      </c>
      <c r="K33" s="7">
        <v>100</v>
      </c>
    </row>
    <row r="34" ht="32" spans="1:11">
      <c r="A34" s="7" t="s">
        <v>11</v>
      </c>
      <c r="B34" s="8">
        <v>45965.8018518519</v>
      </c>
      <c r="C34" s="1">
        <v>45965.8042708333</v>
      </c>
      <c r="D34" s="7">
        <f t="shared" si="0"/>
        <v>3.483333340846</v>
      </c>
      <c r="E34" s="7" t="s">
        <v>45</v>
      </c>
      <c r="F34" s="7">
        <v>100</v>
      </c>
      <c r="G34" s="7">
        <v>100</v>
      </c>
      <c r="H34" s="7">
        <v>100</v>
      </c>
      <c r="I34" s="7">
        <v>0</v>
      </c>
      <c r="J34" s="7">
        <v>100</v>
      </c>
      <c r="K34" s="7">
        <v>100</v>
      </c>
    </row>
    <row r="35" ht="32" spans="1:11">
      <c r="A35" s="7" t="s">
        <v>13</v>
      </c>
      <c r="B35" s="8">
        <v>45965.8389467593</v>
      </c>
      <c r="C35" s="3">
        <v>45965.8414699074</v>
      </c>
      <c r="D35" s="7">
        <f t="shared" si="0"/>
        <v>3.63333333400078</v>
      </c>
      <c r="E35" s="7" t="s">
        <v>46</v>
      </c>
      <c r="F35" s="7">
        <v>75</v>
      </c>
      <c r="G35" s="7">
        <v>75</v>
      </c>
      <c r="H35" s="7">
        <v>75</v>
      </c>
      <c r="I35" s="7">
        <v>25</v>
      </c>
      <c r="J35" s="7">
        <v>75</v>
      </c>
      <c r="K35" s="7">
        <v>75</v>
      </c>
    </row>
    <row r="36" ht="32" spans="1:11">
      <c r="A36" s="7" t="s">
        <v>11</v>
      </c>
      <c r="B36" s="8">
        <v>45966.3648032407</v>
      </c>
      <c r="C36" s="1">
        <v>45966.3669907407</v>
      </c>
      <c r="D36" s="7">
        <f t="shared" si="0"/>
        <v>3.15000000293367</v>
      </c>
      <c r="E36" s="7" t="s">
        <v>47</v>
      </c>
      <c r="F36" s="7">
        <v>100</v>
      </c>
      <c r="G36" s="7">
        <v>100</v>
      </c>
      <c r="H36" s="7">
        <v>100</v>
      </c>
      <c r="I36" s="7">
        <v>25</v>
      </c>
      <c r="J36" s="7">
        <v>100</v>
      </c>
      <c r="K36" s="7">
        <v>75</v>
      </c>
    </row>
    <row r="37" ht="32" spans="1:11">
      <c r="A37" s="7" t="s">
        <v>13</v>
      </c>
      <c r="B37" s="8">
        <v>45966.3962152778</v>
      </c>
      <c r="C37" s="3">
        <v>45966.3987037037</v>
      </c>
      <c r="D37" s="7">
        <f t="shared" si="0"/>
        <v>3.58333333279006</v>
      </c>
      <c r="E37" s="7" t="s">
        <v>48</v>
      </c>
      <c r="F37" s="7">
        <v>75</v>
      </c>
      <c r="G37" s="7">
        <v>50</v>
      </c>
      <c r="H37" s="7">
        <v>50</v>
      </c>
      <c r="I37" s="7">
        <v>100</v>
      </c>
      <c r="J37" s="7">
        <v>50</v>
      </c>
      <c r="K37" s="7">
        <v>50</v>
      </c>
    </row>
    <row r="38" ht="32" spans="1:11">
      <c r="A38" s="7" t="s">
        <v>13</v>
      </c>
      <c r="B38" s="8">
        <v>45966.4276273148</v>
      </c>
      <c r="C38" s="3">
        <v>45966.4315856481</v>
      </c>
      <c r="D38" s="7">
        <f t="shared" si="0"/>
        <v>5.70000000181608</v>
      </c>
      <c r="E38" s="7" t="s">
        <v>49</v>
      </c>
      <c r="F38" s="7">
        <v>50</v>
      </c>
      <c r="G38" s="7">
        <v>50</v>
      </c>
      <c r="H38" s="7">
        <v>50</v>
      </c>
      <c r="I38" s="7">
        <v>50</v>
      </c>
      <c r="J38" s="7">
        <v>50</v>
      </c>
      <c r="K38" s="7">
        <v>50</v>
      </c>
    </row>
    <row r="39" ht="32" spans="1:11">
      <c r="A39" s="7" t="s">
        <v>11</v>
      </c>
      <c r="B39" s="8">
        <v>45966.4620601852</v>
      </c>
      <c r="C39" s="1">
        <v>45966.4636226852</v>
      </c>
      <c r="D39" s="7">
        <f t="shared" si="0"/>
        <v>2.25000000209548</v>
      </c>
      <c r="E39" s="7" t="s">
        <v>50</v>
      </c>
      <c r="F39" s="7">
        <v>50</v>
      </c>
      <c r="G39" s="7">
        <v>100</v>
      </c>
      <c r="H39" s="7">
        <v>100</v>
      </c>
      <c r="I39" s="7">
        <v>0</v>
      </c>
      <c r="J39" s="7">
        <v>75</v>
      </c>
      <c r="K39" s="7">
        <v>100</v>
      </c>
    </row>
    <row r="40" ht="32" spans="1:11">
      <c r="A40" s="7" t="s">
        <v>13</v>
      </c>
      <c r="B40" s="8">
        <v>45966.5143287037</v>
      </c>
      <c r="C40" s="3">
        <v>45966.5160532407</v>
      </c>
      <c r="D40" s="7">
        <f t="shared" si="0"/>
        <v>2.48333332710899</v>
      </c>
      <c r="E40" s="7" t="s">
        <v>51</v>
      </c>
      <c r="F40" s="7">
        <v>50</v>
      </c>
      <c r="G40" s="7">
        <v>75</v>
      </c>
      <c r="H40" s="7">
        <v>75</v>
      </c>
      <c r="I40" s="7">
        <v>50</v>
      </c>
      <c r="J40" s="7">
        <v>50</v>
      </c>
      <c r="K40" s="7">
        <v>75</v>
      </c>
    </row>
    <row r="41" ht="32" spans="1:11">
      <c r="A41" s="7" t="s">
        <v>13</v>
      </c>
      <c r="B41" s="8">
        <v>45966.5527083333</v>
      </c>
      <c r="C41" s="3">
        <v>45966.554537037</v>
      </c>
      <c r="D41" s="7">
        <f t="shared" si="0"/>
        <v>2.63333333074115</v>
      </c>
      <c r="E41" s="7" t="s">
        <v>52</v>
      </c>
      <c r="F41" s="7">
        <v>75</v>
      </c>
      <c r="G41" s="7">
        <v>75</v>
      </c>
      <c r="H41" s="7">
        <v>100</v>
      </c>
      <c r="I41" s="7">
        <v>25</v>
      </c>
      <c r="J41" s="7">
        <v>75</v>
      </c>
      <c r="K41" s="7">
        <v>50</v>
      </c>
    </row>
    <row r="42" ht="32" spans="1:11">
      <c r="A42" s="7" t="s">
        <v>11</v>
      </c>
      <c r="B42" s="8">
        <v>45966.6112384259</v>
      </c>
      <c r="C42" s="1">
        <v>45966.6134837963</v>
      </c>
      <c r="D42" s="7">
        <f t="shared" si="0"/>
        <v>3.23333333479241</v>
      </c>
      <c r="E42" s="7" t="s">
        <v>53</v>
      </c>
      <c r="F42" s="7">
        <v>0</v>
      </c>
      <c r="G42" s="7">
        <v>100</v>
      </c>
      <c r="H42" s="7">
        <v>100</v>
      </c>
      <c r="I42" s="7">
        <v>25</v>
      </c>
      <c r="J42" s="7">
        <v>100</v>
      </c>
      <c r="K42" s="7">
        <v>100</v>
      </c>
    </row>
    <row r="43" ht="32" spans="1:11">
      <c r="A43" s="7" t="s">
        <v>13</v>
      </c>
      <c r="B43" s="8">
        <v>45966.6427777778</v>
      </c>
      <c r="C43" s="3">
        <v>45966.6459953704</v>
      </c>
      <c r="D43" s="7">
        <f t="shared" si="0"/>
        <v>4.63333332678303</v>
      </c>
      <c r="E43" s="7" t="s">
        <v>54</v>
      </c>
      <c r="F43" s="7">
        <v>75</v>
      </c>
      <c r="G43" s="7">
        <v>50</v>
      </c>
      <c r="H43" s="7">
        <v>100</v>
      </c>
      <c r="I43" s="7">
        <v>50</v>
      </c>
      <c r="J43" s="7">
        <v>75</v>
      </c>
      <c r="K43" s="7">
        <v>75</v>
      </c>
    </row>
    <row r="44" ht="32" spans="1:11">
      <c r="A44" s="7" t="s">
        <v>11</v>
      </c>
      <c r="B44" s="8">
        <v>45966.6741898148</v>
      </c>
      <c r="C44" s="1">
        <v>45966.6766319444</v>
      </c>
      <c r="D44" s="7">
        <f t="shared" si="0"/>
        <v>3.51666666101664</v>
      </c>
      <c r="E44" s="7" t="s">
        <v>55</v>
      </c>
      <c r="F44" s="7">
        <v>100</v>
      </c>
      <c r="G44" s="7">
        <v>75</v>
      </c>
      <c r="H44" s="7">
        <v>100</v>
      </c>
      <c r="I44" s="7">
        <v>25</v>
      </c>
      <c r="J44" s="7">
        <v>100</v>
      </c>
      <c r="K44" s="7">
        <v>100</v>
      </c>
    </row>
    <row r="45" ht="32" spans="1:11">
      <c r="A45" s="7" t="s">
        <v>11</v>
      </c>
      <c r="B45" s="8">
        <v>45966.7119791667</v>
      </c>
      <c r="C45" s="1">
        <v>45966.7138078704</v>
      </c>
      <c r="D45" s="7">
        <f t="shared" si="0"/>
        <v>2.63333333074115</v>
      </c>
      <c r="E45" s="7" t="s">
        <v>56</v>
      </c>
      <c r="F45" s="7">
        <v>75</v>
      </c>
      <c r="G45" s="7">
        <v>100</v>
      </c>
      <c r="H45" s="7">
        <v>100</v>
      </c>
      <c r="I45" s="7">
        <v>0</v>
      </c>
      <c r="J45" s="7">
        <v>100</v>
      </c>
      <c r="K45" s="7">
        <v>100</v>
      </c>
    </row>
    <row r="46" ht="32" spans="1:11">
      <c r="A46" s="7" t="s">
        <v>13</v>
      </c>
      <c r="B46" s="8">
        <v>45966.7711689815</v>
      </c>
      <c r="C46" s="3">
        <v>45966.772349537</v>
      </c>
      <c r="D46" s="7">
        <f t="shared" si="0"/>
        <v>1.69999999925494</v>
      </c>
      <c r="E46" s="7" t="s">
        <v>57</v>
      </c>
      <c r="F46" s="7">
        <v>75</v>
      </c>
      <c r="G46" s="7">
        <v>100</v>
      </c>
      <c r="H46" s="7">
        <v>75</v>
      </c>
      <c r="I46" s="7">
        <v>50</v>
      </c>
      <c r="J46" s="7">
        <v>75</v>
      </c>
      <c r="K46" s="7">
        <v>75</v>
      </c>
    </row>
    <row r="47" ht="32" spans="1:11">
      <c r="A47" s="7" t="s">
        <v>11</v>
      </c>
      <c r="B47" s="8">
        <v>45966.8074537037</v>
      </c>
      <c r="C47" s="1">
        <v>45966.8099768519</v>
      </c>
      <c r="D47" s="7">
        <f t="shared" si="0"/>
        <v>3.63333333400078</v>
      </c>
      <c r="E47" s="7" t="s">
        <v>58</v>
      </c>
      <c r="F47" s="7">
        <v>100</v>
      </c>
      <c r="G47" s="7">
        <v>100</v>
      </c>
      <c r="H47" s="7">
        <v>100</v>
      </c>
      <c r="I47" s="7">
        <v>0</v>
      </c>
      <c r="J47" s="7">
        <v>100</v>
      </c>
      <c r="K47" s="7">
        <v>75</v>
      </c>
    </row>
    <row r="48" ht="32" spans="1:11">
      <c r="A48" s="7" t="s">
        <v>11</v>
      </c>
      <c r="B48" s="8">
        <v>45966.8459143518</v>
      </c>
      <c r="C48" s="1">
        <v>45966.8486689815</v>
      </c>
      <c r="D48" s="7">
        <f t="shared" si="0"/>
        <v>3.96666667191312</v>
      </c>
      <c r="E48" s="7" t="s">
        <v>59</v>
      </c>
      <c r="F48" s="7">
        <v>50</v>
      </c>
      <c r="G48" s="7">
        <v>25</v>
      </c>
      <c r="H48" s="7">
        <v>50</v>
      </c>
      <c r="I48" s="7">
        <v>0</v>
      </c>
      <c r="J48" s="7">
        <v>100</v>
      </c>
      <c r="K48" s="7">
        <v>75</v>
      </c>
    </row>
    <row r="49" ht="32" spans="1:11">
      <c r="A49" s="7" t="s">
        <v>11</v>
      </c>
      <c r="B49" s="8">
        <v>45967.4255439815</v>
      </c>
      <c r="C49" s="1">
        <v>45967.4283333333</v>
      </c>
      <c r="D49" s="7">
        <f t="shared" si="0"/>
        <v>4.01666667312384</v>
      </c>
      <c r="E49" s="7" t="s">
        <v>60</v>
      </c>
      <c r="F49" s="5">
        <v>100</v>
      </c>
      <c r="G49" s="5">
        <v>100</v>
      </c>
      <c r="H49" s="5">
        <v>100</v>
      </c>
      <c r="I49" s="5">
        <v>100</v>
      </c>
      <c r="J49" s="5">
        <v>100</v>
      </c>
      <c r="K49" s="5">
        <v>100</v>
      </c>
    </row>
    <row r="50" ht="32" spans="1:11">
      <c r="A50" s="7" t="s">
        <v>13</v>
      </c>
      <c r="B50" s="8">
        <v>45967.7223958333</v>
      </c>
      <c r="C50" s="3">
        <v>45967.7234953704</v>
      </c>
      <c r="D50" s="7">
        <f t="shared" si="0"/>
        <v>1.5833333262708</v>
      </c>
      <c r="E50" s="7" t="s">
        <v>61</v>
      </c>
      <c r="F50" s="5">
        <v>75</v>
      </c>
      <c r="G50" s="5">
        <v>75</v>
      </c>
      <c r="H50" s="5">
        <v>100</v>
      </c>
      <c r="I50" s="5">
        <v>0</v>
      </c>
      <c r="J50" s="5">
        <v>50</v>
      </c>
      <c r="K50" s="5">
        <v>75</v>
      </c>
    </row>
    <row r="51" ht="32" spans="1:11">
      <c r="A51" s="7" t="s">
        <v>11</v>
      </c>
      <c r="B51" s="8">
        <v>45965.4242361111</v>
      </c>
      <c r="C51" s="8">
        <v>45965.7636111111</v>
      </c>
      <c r="D51" s="7">
        <f>(C51-B51)*24*60</f>
        <v>488.70000000461</v>
      </c>
      <c r="E51" s="7" t="s">
        <v>62</v>
      </c>
      <c r="F51" s="7">
        <v>50</v>
      </c>
      <c r="G51" s="7">
        <v>75</v>
      </c>
      <c r="H51" s="7">
        <v>75</v>
      </c>
      <c r="I51" s="7">
        <v>50</v>
      </c>
      <c r="J51" s="7">
        <v>50</v>
      </c>
      <c r="K51" s="7">
        <v>50</v>
      </c>
    </row>
  </sheetData>
  <autoFilter ref="A1:A51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0"/>
  <sheetViews>
    <sheetView topLeftCell="H1" workbookViewId="0">
      <selection activeCell="U8" sqref="M8:U8"/>
    </sheetView>
  </sheetViews>
  <sheetFormatPr defaultColWidth="9.23076923076923" defaultRowHeight="16.8"/>
  <cols>
    <col min="1" max="1" width="24.9903846153846" style="5" customWidth="1"/>
    <col min="2" max="2" width="37.9711538461538" style="5" customWidth="1"/>
    <col min="3" max="3" width="34.7692307692308" style="5" customWidth="1"/>
    <col min="4" max="4" width="14.1057692307692" style="5" customWidth="1"/>
    <col min="5" max="5" width="9.61538461538461" style="5"/>
    <col min="6" max="11" width="12.9230769230769" style="5"/>
    <col min="12" max="12" width="12.9230769230769"/>
    <col min="14" max="14" width="13.3076923076923" customWidth="1"/>
    <col min="15" max="15" width="12.9230769230769"/>
    <col min="16" max="21" width="13.8461538461538"/>
  </cols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9"/>
      <c r="N1" s="6" t="s">
        <v>3</v>
      </c>
      <c r="O1" s="6" t="s">
        <v>4</v>
      </c>
      <c r="P1" s="6" t="s">
        <v>5</v>
      </c>
      <c r="Q1" s="6" t="s">
        <v>6</v>
      </c>
      <c r="R1" s="6" t="s">
        <v>7</v>
      </c>
      <c r="S1" s="6" t="s">
        <v>8</v>
      </c>
      <c r="T1" s="6" t="s">
        <v>9</v>
      </c>
      <c r="U1" s="6" t="s">
        <v>10</v>
      </c>
    </row>
    <row r="2" ht="32" spans="1:21">
      <c r="A2" s="7" t="s">
        <v>11</v>
      </c>
      <c r="B2" s="8">
        <v>45964.5940046296</v>
      </c>
      <c r="C2" s="1">
        <v>45964.5964236111</v>
      </c>
      <c r="D2" s="7">
        <f>(C2-B2)*24*60</f>
        <v>3.48333333036862</v>
      </c>
      <c r="E2" s="7" t="s">
        <v>12</v>
      </c>
      <c r="F2" s="7">
        <v>50</v>
      </c>
      <c r="G2" s="7">
        <v>75</v>
      </c>
      <c r="H2" s="7">
        <v>50</v>
      </c>
      <c r="I2" s="7">
        <v>50</v>
      </c>
      <c r="J2" s="7">
        <v>50</v>
      </c>
      <c r="K2" s="7">
        <v>50</v>
      </c>
      <c r="L2" s="7" t="s">
        <v>63</v>
      </c>
      <c r="M2" s="5" t="s">
        <v>64</v>
      </c>
      <c r="N2" s="5">
        <f>AVERAGE(D:D)</f>
        <v>2.76190476114291</v>
      </c>
      <c r="O2" s="5"/>
      <c r="P2" s="5">
        <f>AVERAGE(F:F)</f>
        <v>78.0612244897959</v>
      </c>
      <c r="Q2" s="5">
        <f>AVERAGE(G:G)</f>
        <v>79.5918367346939</v>
      </c>
      <c r="R2" s="5">
        <f>AVERAGE(H:H)</f>
        <v>80.1020408163265</v>
      </c>
      <c r="S2" s="5">
        <f>AVERAGE(I:I)</f>
        <v>25.5102040816327</v>
      </c>
      <c r="T2" s="5">
        <f>AVERAGE(J:J)</f>
        <v>78.5714285714286</v>
      </c>
      <c r="U2" s="5">
        <f>AVERAGE(K:K)</f>
        <v>78.5714285714286</v>
      </c>
    </row>
    <row r="3" ht="32" spans="1:21">
      <c r="A3" s="7" t="s">
        <v>13</v>
      </c>
      <c r="B3" s="8">
        <v>45964.6528703704</v>
      </c>
      <c r="C3" s="3">
        <v>45964.6545949074</v>
      </c>
      <c r="D3" s="7">
        <f>(C3-B3)*24*60</f>
        <v>2.48333332710899</v>
      </c>
      <c r="E3" s="7" t="s">
        <v>14</v>
      </c>
      <c r="F3" s="7">
        <v>50</v>
      </c>
      <c r="G3" s="7">
        <v>100</v>
      </c>
      <c r="H3" s="7">
        <v>75</v>
      </c>
      <c r="I3" s="7">
        <v>25</v>
      </c>
      <c r="J3" s="7">
        <v>50</v>
      </c>
      <c r="K3" s="7">
        <v>75</v>
      </c>
      <c r="L3" s="7"/>
      <c r="M3" s="5" t="s">
        <v>11</v>
      </c>
      <c r="N3" s="11">
        <f>AVERAGEIF(A:A,"对照版",D:D)</f>
        <v>3.02638889086666</v>
      </c>
      <c r="O3" s="5"/>
      <c r="P3" s="5">
        <f>AVERAGEIF(A:A,"对照版",F:F)</f>
        <v>87.5</v>
      </c>
      <c r="Q3" s="5">
        <f>AVERAGEIF(A:A,"对照版",G:G)</f>
        <v>87.5</v>
      </c>
      <c r="R3" s="5">
        <f>AVERAGEIF(A:A,"对照版",H:H)</f>
        <v>87.5</v>
      </c>
      <c r="S3" s="5">
        <f>AVERAGEIF(A:A,"对照版",I:I)</f>
        <v>10.4166666666667</v>
      </c>
      <c r="T3" s="5">
        <f>AVERAGEIF(A:A,"对照版",J:J)</f>
        <v>92.7083333333333</v>
      </c>
      <c r="U3" s="5">
        <f>AVERAGEIF(A:A,"对照版",K:K)</f>
        <v>88.5416666666667</v>
      </c>
    </row>
    <row r="4" ht="32" spans="1:21">
      <c r="A4" s="7" t="s">
        <v>13</v>
      </c>
      <c r="B4" s="8">
        <v>45964.6809375</v>
      </c>
      <c r="C4" s="3">
        <v>45964.6813773148</v>
      </c>
      <c r="D4" s="7">
        <f>(C4-B4)*24*60</f>
        <v>0.633333324221894</v>
      </c>
      <c r="E4" s="7" t="s">
        <v>15</v>
      </c>
      <c r="F4" s="7">
        <v>75</v>
      </c>
      <c r="G4" s="7">
        <v>100</v>
      </c>
      <c r="H4" s="7">
        <v>75</v>
      </c>
      <c r="I4" s="7">
        <v>100</v>
      </c>
      <c r="J4" s="7">
        <v>100</v>
      </c>
      <c r="K4" s="7">
        <v>75</v>
      </c>
      <c r="L4" s="7"/>
      <c r="M4" s="5" t="s">
        <v>13</v>
      </c>
      <c r="N4" s="11">
        <f>AVERAGEIF(A:A,"优化版",D:D)</f>
        <v>2.50799999660812</v>
      </c>
      <c r="O4" s="5"/>
      <c r="P4" s="5">
        <f>AVERAGEIF(A:A,"优化版",F:F)</f>
        <v>69</v>
      </c>
      <c r="Q4" s="5">
        <f>AVERAGEIF(A:A,"优化版",G:G)</f>
        <v>72</v>
      </c>
      <c r="R4" s="5">
        <f>AVERAGEIF(A:A,"优化版",H:H)</f>
        <v>73</v>
      </c>
      <c r="S4" s="5">
        <f>AVERAGEIF(A:A,"优化版",I:I)</f>
        <v>40</v>
      </c>
      <c r="T4" s="5">
        <f>AVERAGEIF(A:A,"优化版",J:J)</f>
        <v>65</v>
      </c>
      <c r="U4" s="5">
        <f>AVERAGEIF(A:A,"优化版",K:K)</f>
        <v>69</v>
      </c>
    </row>
    <row r="5" ht="32" spans="1:21">
      <c r="A5" s="7" t="s">
        <v>11</v>
      </c>
      <c r="B5" s="8">
        <v>45965.3404513889</v>
      </c>
      <c r="C5" s="1">
        <v>45965.3428703704</v>
      </c>
      <c r="D5" s="7">
        <f>(C5-B5)*24*60</f>
        <v>3.483333340846</v>
      </c>
      <c r="E5" s="7" t="s">
        <v>16</v>
      </c>
      <c r="F5" s="7">
        <v>75</v>
      </c>
      <c r="G5" s="7">
        <v>100</v>
      </c>
      <c r="H5" s="7">
        <v>100</v>
      </c>
      <c r="I5" s="7">
        <v>0</v>
      </c>
      <c r="J5" s="7">
        <v>75</v>
      </c>
      <c r="K5" s="7">
        <v>75</v>
      </c>
      <c r="L5" s="7" t="s">
        <v>65</v>
      </c>
      <c r="M5" s="5" t="s">
        <v>64</v>
      </c>
      <c r="N5" s="5"/>
      <c r="O5" s="5"/>
      <c r="P5" s="5"/>
      <c r="Q5" s="5"/>
      <c r="R5" s="5"/>
      <c r="S5" s="5"/>
      <c r="T5" s="5"/>
      <c r="U5" s="5"/>
    </row>
    <row r="6" ht="32" spans="1:21">
      <c r="A6" s="7" t="s">
        <v>13</v>
      </c>
      <c r="B6" s="8">
        <v>45965.3788194444</v>
      </c>
      <c r="C6" s="3">
        <v>45965.3789351852</v>
      </c>
      <c r="D6" s="7">
        <f>(C6-B6)*24*60</f>
        <v>0.166666674194857</v>
      </c>
      <c r="E6" s="7" t="s">
        <v>17</v>
      </c>
      <c r="F6" s="7">
        <v>50</v>
      </c>
      <c r="G6" s="7">
        <v>75</v>
      </c>
      <c r="H6" s="7">
        <v>50</v>
      </c>
      <c r="I6" s="7">
        <v>50</v>
      </c>
      <c r="J6" s="7">
        <v>50</v>
      </c>
      <c r="K6" s="7">
        <v>75</v>
      </c>
      <c r="L6" s="7"/>
      <c r="M6" s="5" t="s">
        <v>11</v>
      </c>
      <c r="N6" s="11">
        <f>_xlfn.STDEV.S(_xlfn._xlws.FILTER(D:D,A:A="对照版"))</f>
        <v>0.729881809291215</v>
      </c>
      <c r="O6" s="11"/>
      <c r="P6" s="11">
        <f>_xlfn.STDEV.S(_xlfn._xlws.FILTER(F:F,A:A="对照版"))</f>
        <v>25.5376959227625</v>
      </c>
      <c r="Q6" s="11">
        <f>_xlfn.STDEV.S(_xlfn._xlws.FILTER(G:G,A:A="对照版"))</f>
        <v>19.5047374401373</v>
      </c>
      <c r="R6" s="11">
        <f>_xlfn.STDEV.S(_xlfn._xlws.FILTER(H:H,A:A="对照版"))</f>
        <v>19.5047374401373</v>
      </c>
      <c r="S6" s="11">
        <f>_xlfn.STDEV.S(_xlfn._xlws.FILTER(I:I,A:A="对照版"))</f>
        <v>23.2152810743768</v>
      </c>
      <c r="T6" s="11">
        <f>_xlfn.STDEV.S(_xlfn._xlws.FILTER(J:J,A:A="对照版"))</f>
        <v>13.7508234272547</v>
      </c>
      <c r="U6" s="11">
        <f>_xlfn.STDEV.S(_xlfn._xlws.FILTER(K:K,A:A="对照版"))</f>
        <v>16.450133253502</v>
      </c>
    </row>
    <row r="7" ht="32" spans="1:21">
      <c r="A7" s="7" t="s">
        <v>13</v>
      </c>
      <c r="B7" s="8">
        <v>45965.3838773148</v>
      </c>
      <c r="C7" s="3">
        <v>45965.3852893518</v>
      </c>
      <c r="D7" s="7">
        <f>(C7-B7)*24*60</f>
        <v>2.0333333266899</v>
      </c>
      <c r="E7" s="7" t="s">
        <v>18</v>
      </c>
      <c r="F7" s="7">
        <v>75</v>
      </c>
      <c r="G7" s="7">
        <v>100</v>
      </c>
      <c r="H7" s="7">
        <v>75</v>
      </c>
      <c r="I7" s="7">
        <v>25</v>
      </c>
      <c r="J7" s="7">
        <v>75</v>
      </c>
      <c r="K7" s="7">
        <v>50</v>
      </c>
      <c r="L7" s="7"/>
      <c r="M7" s="5" t="s">
        <v>13</v>
      </c>
      <c r="N7" s="11">
        <f>_xlfn.STDEV.S(_xlfn._xlws.FILTER(D:D,A:A="优化版"))</f>
        <v>1.19618529498706</v>
      </c>
      <c r="O7" s="11"/>
      <c r="P7" s="11">
        <f>_xlfn.STDEV.S(_xlfn._xlws.FILTER(F:F,A:A="优化版"))</f>
        <v>19.4722024092465</v>
      </c>
      <c r="Q7" s="11">
        <f>_xlfn.STDEV.S(_xlfn._xlws.FILTER(G:G,A:A="优化版"))</f>
        <v>23.1840462387393</v>
      </c>
      <c r="R7" s="11">
        <f>_xlfn.STDEV.S(_xlfn._xlws.FILTER(H:H,A:A="优化版"))</f>
        <v>17.5594229214212</v>
      </c>
      <c r="S7" s="11">
        <f>_xlfn.STDEV.S(_xlfn._xlws.FILTER(I:I,A:A="优化版"))</f>
        <v>31.4576434802948</v>
      </c>
      <c r="T7" s="11">
        <f>_xlfn.STDEV.S(_xlfn._xlws.FILTER(J:J,A:A="优化版"))</f>
        <v>16.1374306091976</v>
      </c>
      <c r="U7" s="11">
        <f>_xlfn.STDEV.S(_xlfn._xlws.FILTER(K:K,A:A="优化版"))</f>
        <v>14.9303940559741</v>
      </c>
    </row>
    <row r="8" ht="32" spans="1:21">
      <c r="A8" s="7" t="s">
        <v>13</v>
      </c>
      <c r="B8" s="8">
        <v>45965.3890625</v>
      </c>
      <c r="C8" s="3">
        <v>45965.390162037</v>
      </c>
      <c r="D8" s="7">
        <f>(C8-B8)*24*60</f>
        <v>1.58333333674818</v>
      </c>
      <c r="E8" s="7" t="s">
        <v>19</v>
      </c>
      <c r="F8" s="7">
        <v>100</v>
      </c>
      <c r="G8" s="7">
        <v>100</v>
      </c>
      <c r="H8" s="7">
        <v>100</v>
      </c>
      <c r="I8" s="7">
        <v>100</v>
      </c>
      <c r="J8" s="7">
        <v>50</v>
      </c>
      <c r="K8" s="7">
        <v>50</v>
      </c>
      <c r="L8" s="10"/>
      <c r="M8" t="s">
        <v>64</v>
      </c>
      <c r="N8">
        <f>_xlfn.STDEV.S(D:D)</f>
        <v>1.01943498412601</v>
      </c>
      <c r="P8">
        <f>_xlfn.STDEV.S(F:F)</f>
        <v>24.2773970351585</v>
      </c>
      <c r="Q8">
        <f>_xlfn.STDEV.S(G:G)</f>
        <v>22.6347063593233</v>
      </c>
      <c r="R8">
        <f>_xlfn.STDEV.S(H:H)</f>
        <v>19.7507857417108</v>
      </c>
      <c r="S8">
        <f>_xlfn.STDEV.S(I:I)</f>
        <v>31.245748010049</v>
      </c>
      <c r="T8">
        <f>_xlfn.STDEV.S(J:J)</f>
        <v>20.4124145231931</v>
      </c>
      <c r="U8">
        <f>_xlfn.STDEV.S(K:K)</f>
        <v>18.3995018048497</v>
      </c>
    </row>
    <row r="9" ht="17.6" spans="1:14">
      <c r="A9" s="7" t="s">
        <v>13</v>
      </c>
      <c r="B9" s="8">
        <v>45965.3950578704</v>
      </c>
      <c r="C9" s="3">
        <v>45965.396087963</v>
      </c>
      <c r="D9" s="7">
        <f>(C9-B9)*24*60</f>
        <v>1.48333332384937</v>
      </c>
      <c r="E9" s="7" t="s">
        <v>20</v>
      </c>
      <c r="F9" s="7">
        <v>75</v>
      </c>
      <c r="G9" s="7">
        <v>75</v>
      </c>
      <c r="H9" s="7">
        <v>75</v>
      </c>
      <c r="I9" s="7">
        <v>25</v>
      </c>
      <c r="J9" s="7">
        <v>75</v>
      </c>
      <c r="K9" s="7">
        <v>75</v>
      </c>
      <c r="L9" s="10"/>
      <c r="N9" s="12"/>
    </row>
    <row r="10" ht="32" spans="1:14">
      <c r="A10" s="7" t="s">
        <v>11</v>
      </c>
      <c r="B10" s="8">
        <v>45965.3997685185</v>
      </c>
      <c r="C10" s="1">
        <v>45965.4013657407</v>
      </c>
      <c r="D10" s="7">
        <f>(C10-B10)*24*60</f>
        <v>2.3000000033062</v>
      </c>
      <c r="E10" s="7" t="s">
        <v>21</v>
      </c>
      <c r="F10" s="7">
        <v>100</v>
      </c>
      <c r="G10" s="7">
        <v>75</v>
      </c>
      <c r="H10" s="7">
        <v>100</v>
      </c>
      <c r="I10" s="7">
        <v>0</v>
      </c>
      <c r="J10" s="7">
        <v>100</v>
      </c>
      <c r="K10" s="7">
        <v>75</v>
      </c>
      <c r="L10" s="10"/>
      <c r="N10" s="12"/>
    </row>
    <row r="11" ht="32" spans="1:12">
      <c r="A11" s="7" t="s">
        <v>11</v>
      </c>
      <c r="B11" s="8">
        <v>45965.4043518519</v>
      </c>
      <c r="C11" s="1">
        <v>45965.4066550926</v>
      </c>
      <c r="D11" s="7">
        <f>(C11-B11)*24*60</f>
        <v>3.31666666665114</v>
      </c>
      <c r="E11" s="7" t="s">
        <v>22</v>
      </c>
      <c r="F11" s="7">
        <v>100</v>
      </c>
      <c r="G11" s="7">
        <v>100</v>
      </c>
      <c r="H11" s="7">
        <v>75</v>
      </c>
      <c r="I11" s="7">
        <v>0</v>
      </c>
      <c r="J11" s="7">
        <v>100</v>
      </c>
      <c r="K11" s="7">
        <v>75</v>
      </c>
      <c r="L11" s="10"/>
    </row>
    <row r="12" spans="1:12">
      <c r="A12" s="7" t="s">
        <v>11</v>
      </c>
      <c r="B12" s="8">
        <v>45965.4097800926</v>
      </c>
      <c r="C12" s="1">
        <v>45965.4110300926</v>
      </c>
      <c r="D12" s="7">
        <f>(C12-B12)*24*60</f>
        <v>1.80000000167638</v>
      </c>
      <c r="E12" s="7" t="s">
        <v>23</v>
      </c>
      <c r="F12" s="7">
        <v>100</v>
      </c>
      <c r="G12" s="7">
        <v>75</v>
      </c>
      <c r="H12" s="7">
        <v>50</v>
      </c>
      <c r="I12" s="7">
        <v>0</v>
      </c>
      <c r="J12" s="7">
        <v>100</v>
      </c>
      <c r="K12" s="7">
        <v>100</v>
      </c>
      <c r="L12" s="10"/>
    </row>
    <row r="13" ht="32" spans="1:12">
      <c r="A13" s="7" t="s">
        <v>13</v>
      </c>
      <c r="B13" s="8">
        <v>45965.4134375</v>
      </c>
      <c r="C13" s="3">
        <v>45965.4158564815</v>
      </c>
      <c r="D13" s="7">
        <f>(C13-B13)*24*60</f>
        <v>3.48333333036862</v>
      </c>
      <c r="E13" s="7" t="s">
        <v>24</v>
      </c>
      <c r="F13" s="7">
        <v>75</v>
      </c>
      <c r="G13" s="7">
        <v>75</v>
      </c>
      <c r="H13" s="7">
        <v>75</v>
      </c>
      <c r="I13" s="7">
        <v>25</v>
      </c>
      <c r="J13" s="7">
        <v>100</v>
      </c>
      <c r="K13" s="7">
        <v>100</v>
      </c>
      <c r="L13" s="10"/>
    </row>
    <row r="14" ht="32" spans="1:12">
      <c r="A14" s="7" t="s">
        <v>11</v>
      </c>
      <c r="B14" s="8">
        <v>45965.4198842593</v>
      </c>
      <c r="C14" s="1">
        <v>45965.4212152778</v>
      </c>
      <c r="D14" s="7">
        <f>(C14-B14)*24*60</f>
        <v>1.91666667466052</v>
      </c>
      <c r="E14" s="7" t="s">
        <v>25</v>
      </c>
      <c r="F14" s="7">
        <v>100</v>
      </c>
      <c r="G14" s="7">
        <v>100</v>
      </c>
      <c r="H14" s="7">
        <v>75</v>
      </c>
      <c r="I14" s="7">
        <v>25</v>
      </c>
      <c r="J14" s="7">
        <v>100</v>
      </c>
      <c r="K14" s="7">
        <v>100</v>
      </c>
      <c r="L14" s="10"/>
    </row>
    <row r="15" spans="1:12">
      <c r="A15" s="7" t="s">
        <v>11</v>
      </c>
      <c r="B15" s="8">
        <v>45965.4294791667</v>
      </c>
      <c r="C15" s="1">
        <v>45965.4310416667</v>
      </c>
      <c r="D15" s="7">
        <f t="shared" ref="D15:D51" si="0">(C15-B15)*24*60</f>
        <v>2.25000000209548</v>
      </c>
      <c r="E15" s="7" t="s">
        <v>26</v>
      </c>
      <c r="F15" s="7">
        <v>100</v>
      </c>
      <c r="G15" s="7">
        <v>100</v>
      </c>
      <c r="H15" s="7">
        <v>100</v>
      </c>
      <c r="I15" s="7">
        <v>0</v>
      </c>
      <c r="J15" s="7">
        <v>100</v>
      </c>
      <c r="K15" s="7">
        <v>100</v>
      </c>
      <c r="L15" s="10"/>
    </row>
    <row r="16" spans="1:12">
      <c r="A16" s="7" t="s">
        <v>13</v>
      </c>
      <c r="B16" s="8">
        <v>45965.4341435185</v>
      </c>
      <c r="C16" s="3">
        <v>45965.4365625</v>
      </c>
      <c r="D16" s="7">
        <f t="shared" si="0"/>
        <v>3.48333333036862</v>
      </c>
      <c r="E16" s="7" t="s">
        <v>27</v>
      </c>
      <c r="F16" s="7">
        <v>75</v>
      </c>
      <c r="G16" s="7">
        <v>75</v>
      </c>
      <c r="H16" s="7">
        <v>75</v>
      </c>
      <c r="I16" s="7">
        <v>0</v>
      </c>
      <c r="J16" s="7">
        <v>75</v>
      </c>
      <c r="K16" s="7">
        <v>100</v>
      </c>
      <c r="L16" s="10"/>
    </row>
    <row r="17" spans="1:12">
      <c r="A17" s="7" t="s">
        <v>13</v>
      </c>
      <c r="B17" s="8">
        <v>45965.4394097222</v>
      </c>
      <c r="C17" s="3">
        <v>45965.4412037037</v>
      </c>
      <c r="D17" s="7">
        <f t="shared" si="0"/>
        <v>2.58333332953043</v>
      </c>
      <c r="E17" s="7" t="s">
        <v>28</v>
      </c>
      <c r="F17" s="7">
        <v>50</v>
      </c>
      <c r="G17" s="7">
        <v>50</v>
      </c>
      <c r="H17" s="7">
        <v>50</v>
      </c>
      <c r="I17" s="7">
        <v>50</v>
      </c>
      <c r="J17" s="7">
        <v>50</v>
      </c>
      <c r="K17" s="7">
        <v>50</v>
      </c>
      <c r="L17" s="10"/>
    </row>
    <row r="18" spans="1:12">
      <c r="A18" s="7" t="s">
        <v>13</v>
      </c>
      <c r="B18" s="8">
        <v>45965.4439583333</v>
      </c>
      <c r="C18" s="3">
        <v>45965.4457986111</v>
      </c>
      <c r="D18" s="7">
        <f t="shared" si="0"/>
        <v>2.64999999082647</v>
      </c>
      <c r="E18" s="7" t="s">
        <v>29</v>
      </c>
      <c r="F18" s="7">
        <v>75</v>
      </c>
      <c r="G18" s="7">
        <v>50</v>
      </c>
      <c r="H18" s="7">
        <v>75</v>
      </c>
      <c r="I18" s="7">
        <v>50</v>
      </c>
      <c r="J18" s="7">
        <v>50</v>
      </c>
      <c r="K18" s="7">
        <v>75</v>
      </c>
      <c r="L18" s="10"/>
    </row>
    <row r="19" spans="1:12">
      <c r="A19" s="7" t="s">
        <v>11</v>
      </c>
      <c r="B19" s="8">
        <v>45965.4492476852</v>
      </c>
      <c r="C19" s="1">
        <v>45965.4510763889</v>
      </c>
      <c r="D19" s="7">
        <f t="shared" si="0"/>
        <v>2.63333333074115</v>
      </c>
      <c r="E19" s="7" t="s">
        <v>30</v>
      </c>
      <c r="F19" s="7">
        <v>100</v>
      </c>
      <c r="G19" s="7">
        <v>50</v>
      </c>
      <c r="H19" s="7">
        <v>100</v>
      </c>
      <c r="I19" s="7">
        <v>0</v>
      </c>
      <c r="J19" s="7">
        <v>75</v>
      </c>
      <c r="K19" s="7">
        <v>100</v>
      </c>
      <c r="L19" s="10"/>
    </row>
    <row r="20" ht="32" spans="1:12">
      <c r="A20" s="7" t="s">
        <v>13</v>
      </c>
      <c r="B20" s="8">
        <v>45965.453125</v>
      </c>
      <c r="C20" s="3">
        <v>45965.4551041667</v>
      </c>
      <c r="D20" s="7">
        <f t="shared" si="0"/>
        <v>2.84999999566935</v>
      </c>
      <c r="E20" s="7" t="s">
        <v>31</v>
      </c>
      <c r="F20" s="7">
        <v>100</v>
      </c>
      <c r="G20" s="7">
        <v>100</v>
      </c>
      <c r="H20" s="7">
        <v>100</v>
      </c>
      <c r="I20" s="7">
        <v>0</v>
      </c>
      <c r="J20" s="7">
        <v>75</v>
      </c>
      <c r="K20" s="7">
        <v>75</v>
      </c>
      <c r="L20" s="10"/>
    </row>
    <row r="21" ht="32" spans="1:12">
      <c r="A21" s="7" t="s">
        <v>13</v>
      </c>
      <c r="B21" s="8">
        <v>45965.4574537037</v>
      </c>
      <c r="C21" s="3">
        <v>45965.4595949074</v>
      </c>
      <c r="D21" s="7">
        <f t="shared" si="0"/>
        <v>3.08333333116025</v>
      </c>
      <c r="E21" s="7" t="s">
        <v>32</v>
      </c>
      <c r="F21" s="7">
        <v>75</v>
      </c>
      <c r="G21" s="7">
        <v>50</v>
      </c>
      <c r="H21" s="7">
        <v>50</v>
      </c>
      <c r="I21" s="7">
        <v>0</v>
      </c>
      <c r="J21" s="7">
        <v>75</v>
      </c>
      <c r="K21" s="7">
        <v>75</v>
      </c>
      <c r="L21" s="10"/>
    </row>
    <row r="22" ht="32" spans="1:12">
      <c r="A22" s="7" t="s">
        <v>11</v>
      </c>
      <c r="B22" s="8">
        <v>45965.4620023148</v>
      </c>
      <c r="C22" s="1">
        <v>45965.4644212963</v>
      </c>
      <c r="D22" s="7">
        <f t="shared" si="0"/>
        <v>3.48333333036862</v>
      </c>
      <c r="E22" s="7" t="s">
        <v>33</v>
      </c>
      <c r="F22" s="7">
        <v>100</v>
      </c>
      <c r="G22" s="7">
        <v>75</v>
      </c>
      <c r="H22" s="7">
        <v>100</v>
      </c>
      <c r="I22" s="7">
        <v>0</v>
      </c>
      <c r="J22" s="7">
        <v>100</v>
      </c>
      <c r="K22" s="7">
        <v>100</v>
      </c>
      <c r="L22" s="10"/>
    </row>
    <row r="23" ht="32" spans="1:12">
      <c r="A23" s="7" t="s">
        <v>13</v>
      </c>
      <c r="B23" s="8">
        <v>45965.4671180556</v>
      </c>
      <c r="C23" s="3">
        <v>45965.468912037</v>
      </c>
      <c r="D23" s="7">
        <f t="shared" si="0"/>
        <v>2.58333332953043</v>
      </c>
      <c r="E23" s="7" t="s">
        <v>34</v>
      </c>
      <c r="F23" s="7">
        <v>75</v>
      </c>
      <c r="G23" s="7">
        <v>75</v>
      </c>
      <c r="H23" s="7">
        <v>75</v>
      </c>
      <c r="I23" s="7">
        <v>25</v>
      </c>
      <c r="J23" s="7">
        <v>75</v>
      </c>
      <c r="K23" s="7">
        <v>75</v>
      </c>
      <c r="L23" s="10"/>
    </row>
    <row r="24" ht="32" spans="1:12">
      <c r="A24" s="7" t="s">
        <v>13</v>
      </c>
      <c r="B24" s="8">
        <v>45965.4711226852</v>
      </c>
      <c r="C24" s="3">
        <v>45965.4721990741</v>
      </c>
      <c r="D24" s="7">
        <f t="shared" si="0"/>
        <v>1.54999999562278</v>
      </c>
      <c r="E24" s="7" t="s">
        <v>35</v>
      </c>
      <c r="F24" s="7">
        <v>75</v>
      </c>
      <c r="G24" s="7">
        <v>75</v>
      </c>
      <c r="H24" s="7">
        <v>75</v>
      </c>
      <c r="I24" s="7">
        <v>25</v>
      </c>
      <c r="J24" s="7">
        <v>75</v>
      </c>
      <c r="K24" s="7">
        <v>75</v>
      </c>
      <c r="L24" s="10"/>
    </row>
    <row r="25" spans="1:12">
      <c r="A25" s="7" t="s">
        <v>13</v>
      </c>
      <c r="B25" s="8">
        <v>45965.4769675926</v>
      </c>
      <c r="C25" s="3">
        <v>45965.4780671296</v>
      </c>
      <c r="D25" s="7">
        <f t="shared" si="0"/>
        <v>1.5833333262708</v>
      </c>
      <c r="E25" s="7" t="s">
        <v>36</v>
      </c>
      <c r="F25" s="7">
        <v>75</v>
      </c>
      <c r="G25" s="7">
        <v>75</v>
      </c>
      <c r="H25" s="7">
        <v>50</v>
      </c>
      <c r="I25" s="7">
        <v>100</v>
      </c>
      <c r="J25" s="7">
        <v>50</v>
      </c>
      <c r="K25" s="7">
        <v>50</v>
      </c>
      <c r="L25" s="10"/>
    </row>
    <row r="26" ht="32" spans="1:12">
      <c r="A26" s="7" t="s">
        <v>11</v>
      </c>
      <c r="B26" s="8">
        <v>45965.4807291667</v>
      </c>
      <c r="C26" s="1">
        <v>45965.4830671296</v>
      </c>
      <c r="D26" s="7">
        <f t="shared" si="0"/>
        <v>3.36666666786186</v>
      </c>
      <c r="E26" s="7" t="s">
        <v>37</v>
      </c>
      <c r="F26" s="7">
        <v>100</v>
      </c>
      <c r="G26" s="7">
        <v>100</v>
      </c>
      <c r="H26" s="7">
        <v>75</v>
      </c>
      <c r="I26" s="7">
        <v>0</v>
      </c>
      <c r="J26" s="7">
        <v>100</v>
      </c>
      <c r="K26" s="7">
        <v>50</v>
      </c>
      <c r="L26" s="10"/>
    </row>
    <row r="27" ht="32" spans="1:12">
      <c r="A27" s="7" t="s">
        <v>13</v>
      </c>
      <c r="B27" s="8">
        <v>45965.4862037037</v>
      </c>
      <c r="C27" s="3">
        <v>45965.4880324074</v>
      </c>
      <c r="D27" s="7">
        <f t="shared" si="0"/>
        <v>2.63333333074115</v>
      </c>
      <c r="E27" s="7" t="s">
        <v>38</v>
      </c>
      <c r="F27" s="7">
        <v>0</v>
      </c>
      <c r="G27" s="7">
        <v>0</v>
      </c>
      <c r="H27" s="7">
        <v>50</v>
      </c>
      <c r="I27" s="7">
        <v>25</v>
      </c>
      <c r="J27" s="7">
        <v>50</v>
      </c>
      <c r="K27" s="7">
        <v>50</v>
      </c>
      <c r="L27" s="10"/>
    </row>
    <row r="28" ht="32" spans="1:12">
      <c r="A28" s="7" t="s">
        <v>11</v>
      </c>
      <c r="B28" s="8">
        <v>45965.5559375</v>
      </c>
      <c r="C28" s="1">
        <v>45965.5583333333</v>
      </c>
      <c r="D28" s="7">
        <f t="shared" si="0"/>
        <v>3.4499999997206</v>
      </c>
      <c r="E28" s="7" t="s">
        <v>39</v>
      </c>
      <c r="F28" s="7">
        <v>100</v>
      </c>
      <c r="G28" s="7">
        <v>100</v>
      </c>
      <c r="H28" s="7">
        <v>75</v>
      </c>
      <c r="I28" s="7">
        <v>0</v>
      </c>
      <c r="J28" s="7">
        <v>100</v>
      </c>
      <c r="K28" s="7">
        <v>100</v>
      </c>
      <c r="L28" s="10"/>
    </row>
    <row r="29" ht="32" spans="1:12">
      <c r="A29" s="7" t="s">
        <v>11</v>
      </c>
      <c r="B29" s="8">
        <v>45965.5873726852</v>
      </c>
      <c r="C29" s="1">
        <v>45965.5883101852</v>
      </c>
      <c r="D29" s="7">
        <f t="shared" si="0"/>
        <v>1.35000000125729</v>
      </c>
      <c r="E29" s="7" t="s">
        <v>40</v>
      </c>
      <c r="F29" s="7">
        <v>100</v>
      </c>
      <c r="G29" s="7">
        <v>75</v>
      </c>
      <c r="H29" s="7">
        <v>50</v>
      </c>
      <c r="I29" s="7">
        <v>0</v>
      </c>
      <c r="J29" s="7">
        <v>100</v>
      </c>
      <c r="K29" s="7">
        <v>100</v>
      </c>
      <c r="L29" s="10"/>
    </row>
    <row r="30" spans="1:12">
      <c r="A30" s="7" t="s">
        <v>13</v>
      </c>
      <c r="B30" s="8">
        <v>45965.6459722222</v>
      </c>
      <c r="C30" s="3">
        <v>45965.6472800926</v>
      </c>
      <c r="D30" s="7">
        <f t="shared" si="0"/>
        <v>1.88333333353512</v>
      </c>
      <c r="E30" s="7" t="s">
        <v>41</v>
      </c>
      <c r="F30" s="7">
        <v>75</v>
      </c>
      <c r="G30" s="7">
        <v>75</v>
      </c>
      <c r="H30" s="7">
        <v>75</v>
      </c>
      <c r="I30" s="7">
        <v>25</v>
      </c>
      <c r="J30" s="7">
        <v>50</v>
      </c>
      <c r="K30" s="7">
        <v>75</v>
      </c>
      <c r="L30" s="10"/>
    </row>
    <row r="31" ht="32" spans="1:12">
      <c r="A31" s="7" t="s">
        <v>11</v>
      </c>
      <c r="B31" s="8">
        <v>45965.6774074074</v>
      </c>
      <c r="C31" s="1">
        <v>45965.6792361111</v>
      </c>
      <c r="D31" s="7">
        <f t="shared" si="0"/>
        <v>2.63333334121853</v>
      </c>
      <c r="E31" s="7" t="s">
        <v>42</v>
      </c>
      <c r="F31" s="7">
        <v>100</v>
      </c>
      <c r="G31" s="7">
        <v>100</v>
      </c>
      <c r="H31" s="7">
        <v>100</v>
      </c>
      <c r="I31" s="7">
        <v>0</v>
      </c>
      <c r="J31" s="7">
        <v>100</v>
      </c>
      <c r="K31" s="7">
        <v>75</v>
      </c>
      <c r="L31" s="10"/>
    </row>
    <row r="32" spans="1:12">
      <c r="A32" s="7" t="s">
        <v>11</v>
      </c>
      <c r="B32" s="8">
        <v>45965.7124305556</v>
      </c>
      <c r="C32" s="1">
        <v>45965.715</v>
      </c>
      <c r="D32" s="7">
        <f t="shared" si="0"/>
        <v>3.7000000057742</v>
      </c>
      <c r="E32" s="7" t="s">
        <v>43</v>
      </c>
      <c r="F32" s="7">
        <v>100</v>
      </c>
      <c r="G32" s="7">
        <v>75</v>
      </c>
      <c r="H32" s="7">
        <v>100</v>
      </c>
      <c r="I32" s="7">
        <v>0</v>
      </c>
      <c r="J32" s="7">
        <v>75</v>
      </c>
      <c r="K32" s="7">
        <v>100</v>
      </c>
      <c r="L32" s="10"/>
    </row>
    <row r="33" spans="1:12">
      <c r="A33" s="7" t="s">
        <v>11</v>
      </c>
      <c r="B33" s="8">
        <v>45965.765474537</v>
      </c>
      <c r="C33" s="1">
        <v>45965.767962963</v>
      </c>
      <c r="D33" s="7">
        <f t="shared" si="0"/>
        <v>3.58333333279006</v>
      </c>
      <c r="E33" s="7" t="s">
        <v>44</v>
      </c>
      <c r="F33" s="7">
        <v>100</v>
      </c>
      <c r="G33" s="7">
        <v>100</v>
      </c>
      <c r="H33" s="7">
        <v>100</v>
      </c>
      <c r="I33" s="7">
        <v>0</v>
      </c>
      <c r="J33" s="7">
        <v>75</v>
      </c>
      <c r="K33" s="7">
        <v>100</v>
      </c>
      <c r="L33" s="10"/>
    </row>
    <row r="34" ht="32" spans="1:12">
      <c r="A34" s="7" t="s">
        <v>11</v>
      </c>
      <c r="B34" s="8">
        <v>45965.8018518519</v>
      </c>
      <c r="C34" s="1">
        <v>45965.8042708333</v>
      </c>
      <c r="D34" s="7">
        <f t="shared" si="0"/>
        <v>3.483333340846</v>
      </c>
      <c r="E34" s="7" t="s">
        <v>45</v>
      </c>
      <c r="F34" s="7">
        <v>100</v>
      </c>
      <c r="G34" s="7">
        <v>100</v>
      </c>
      <c r="H34" s="7">
        <v>100</v>
      </c>
      <c r="I34" s="7">
        <v>0</v>
      </c>
      <c r="J34" s="7">
        <v>100</v>
      </c>
      <c r="K34" s="7">
        <v>100</v>
      </c>
      <c r="L34" s="10"/>
    </row>
    <row r="35" ht="32" spans="1:12">
      <c r="A35" s="7" t="s">
        <v>13</v>
      </c>
      <c r="B35" s="8">
        <v>45965.8389467593</v>
      </c>
      <c r="C35" s="3">
        <v>45965.8414699074</v>
      </c>
      <c r="D35" s="7">
        <f t="shared" si="0"/>
        <v>3.63333333400078</v>
      </c>
      <c r="E35" s="7" t="s">
        <v>46</v>
      </c>
      <c r="F35" s="7">
        <v>75</v>
      </c>
      <c r="G35" s="7">
        <v>75</v>
      </c>
      <c r="H35" s="7">
        <v>75</v>
      </c>
      <c r="I35" s="7">
        <v>25</v>
      </c>
      <c r="J35" s="7">
        <v>75</v>
      </c>
      <c r="K35" s="7">
        <v>75</v>
      </c>
      <c r="L35" s="10"/>
    </row>
    <row r="36" spans="1:12">
      <c r="A36" s="7" t="s">
        <v>11</v>
      </c>
      <c r="B36" s="8">
        <v>45966.3648032407</v>
      </c>
      <c r="C36" s="1">
        <v>45966.3669907407</v>
      </c>
      <c r="D36" s="7">
        <f t="shared" si="0"/>
        <v>3.15000000293367</v>
      </c>
      <c r="E36" s="7" t="s">
        <v>47</v>
      </c>
      <c r="F36" s="7">
        <v>100</v>
      </c>
      <c r="G36" s="7">
        <v>100</v>
      </c>
      <c r="H36" s="7">
        <v>100</v>
      </c>
      <c r="I36" s="7">
        <v>25</v>
      </c>
      <c r="J36" s="7">
        <v>100</v>
      </c>
      <c r="K36" s="7">
        <v>75</v>
      </c>
      <c r="L36" s="10"/>
    </row>
    <row r="37" ht="32" spans="1:12">
      <c r="A37" s="7" t="s">
        <v>13</v>
      </c>
      <c r="B37" s="8">
        <v>45966.3962152778</v>
      </c>
      <c r="C37" s="3">
        <v>45966.3987037037</v>
      </c>
      <c r="D37" s="7">
        <f t="shared" si="0"/>
        <v>3.58333333279006</v>
      </c>
      <c r="E37" s="7" t="s">
        <v>48</v>
      </c>
      <c r="F37" s="7">
        <v>75</v>
      </c>
      <c r="G37" s="7">
        <v>50</v>
      </c>
      <c r="H37" s="7">
        <v>50</v>
      </c>
      <c r="I37" s="7">
        <v>100</v>
      </c>
      <c r="J37" s="7">
        <v>50</v>
      </c>
      <c r="K37" s="7">
        <v>50</v>
      </c>
      <c r="L37" s="10"/>
    </row>
    <row r="38" ht="32" spans="1:12">
      <c r="A38" s="7" t="s">
        <v>13</v>
      </c>
      <c r="B38" s="8">
        <v>45966.4276273148</v>
      </c>
      <c r="C38" s="3">
        <v>45966.4315856481</v>
      </c>
      <c r="D38" s="7">
        <f t="shared" si="0"/>
        <v>5.70000000181608</v>
      </c>
      <c r="E38" s="7" t="s">
        <v>49</v>
      </c>
      <c r="F38" s="7">
        <v>50</v>
      </c>
      <c r="G38" s="7">
        <v>50</v>
      </c>
      <c r="H38" s="7">
        <v>50</v>
      </c>
      <c r="I38" s="7">
        <v>50</v>
      </c>
      <c r="J38" s="7">
        <v>50</v>
      </c>
      <c r="K38" s="7">
        <v>50</v>
      </c>
      <c r="L38" s="10"/>
    </row>
    <row r="39" ht="32" spans="1:12">
      <c r="A39" s="7" t="s">
        <v>11</v>
      </c>
      <c r="B39" s="8">
        <v>45966.4620601852</v>
      </c>
      <c r="C39" s="1">
        <v>45966.4636226852</v>
      </c>
      <c r="D39" s="7">
        <f t="shared" si="0"/>
        <v>2.25000000209548</v>
      </c>
      <c r="E39" s="7" t="s">
        <v>50</v>
      </c>
      <c r="F39" s="7">
        <v>50</v>
      </c>
      <c r="G39" s="7">
        <v>100</v>
      </c>
      <c r="H39" s="7">
        <v>100</v>
      </c>
      <c r="I39" s="7">
        <v>0</v>
      </c>
      <c r="J39" s="7">
        <v>75</v>
      </c>
      <c r="K39" s="7">
        <v>100</v>
      </c>
      <c r="L39" s="10"/>
    </row>
    <row r="40" ht="32" spans="1:12">
      <c r="A40" s="7" t="s">
        <v>13</v>
      </c>
      <c r="B40" s="8">
        <v>45966.5143287037</v>
      </c>
      <c r="C40" s="3">
        <v>45966.5160532407</v>
      </c>
      <c r="D40" s="7">
        <f t="shared" si="0"/>
        <v>2.48333332710899</v>
      </c>
      <c r="E40" s="7" t="s">
        <v>51</v>
      </c>
      <c r="F40" s="7">
        <v>50</v>
      </c>
      <c r="G40" s="7">
        <v>75</v>
      </c>
      <c r="H40" s="7">
        <v>75</v>
      </c>
      <c r="I40" s="7">
        <v>50</v>
      </c>
      <c r="J40" s="7">
        <v>50</v>
      </c>
      <c r="K40" s="7">
        <v>75</v>
      </c>
      <c r="L40" s="10"/>
    </row>
    <row r="41" spans="1:12">
      <c r="A41" s="7" t="s">
        <v>13</v>
      </c>
      <c r="B41" s="8">
        <v>45966.5527083333</v>
      </c>
      <c r="C41" s="3">
        <v>45966.554537037</v>
      </c>
      <c r="D41" s="7">
        <f t="shared" si="0"/>
        <v>2.63333333074115</v>
      </c>
      <c r="E41" s="7" t="s">
        <v>52</v>
      </c>
      <c r="F41" s="7">
        <v>75</v>
      </c>
      <c r="G41" s="7">
        <v>75</v>
      </c>
      <c r="H41" s="7">
        <v>100</v>
      </c>
      <c r="I41" s="7">
        <v>25</v>
      </c>
      <c r="J41" s="7">
        <v>75</v>
      </c>
      <c r="K41" s="7">
        <v>50</v>
      </c>
      <c r="L41" s="10"/>
    </row>
    <row r="42" ht="32" spans="1:12">
      <c r="A42" s="7" t="s">
        <v>11</v>
      </c>
      <c r="B42" s="8">
        <v>45966.6112384259</v>
      </c>
      <c r="C42" s="1">
        <v>45966.6134837963</v>
      </c>
      <c r="D42" s="7">
        <f t="shared" si="0"/>
        <v>3.23333333479241</v>
      </c>
      <c r="E42" s="7" t="s">
        <v>53</v>
      </c>
      <c r="F42" s="7">
        <v>0</v>
      </c>
      <c r="G42" s="7">
        <v>100</v>
      </c>
      <c r="H42" s="7">
        <v>100</v>
      </c>
      <c r="I42" s="7">
        <v>25</v>
      </c>
      <c r="J42" s="7">
        <v>100</v>
      </c>
      <c r="K42" s="7">
        <v>100</v>
      </c>
      <c r="L42" s="10"/>
    </row>
    <row r="43" ht="32" spans="1:12">
      <c r="A43" s="7" t="s">
        <v>13</v>
      </c>
      <c r="B43" s="8">
        <v>45966.6427777778</v>
      </c>
      <c r="C43" s="3">
        <v>45966.6459953704</v>
      </c>
      <c r="D43" s="7">
        <f t="shared" si="0"/>
        <v>4.63333332678303</v>
      </c>
      <c r="E43" s="7" t="s">
        <v>54</v>
      </c>
      <c r="F43" s="7">
        <v>75</v>
      </c>
      <c r="G43" s="7">
        <v>50</v>
      </c>
      <c r="H43" s="7">
        <v>100</v>
      </c>
      <c r="I43" s="7">
        <v>50</v>
      </c>
      <c r="J43" s="7">
        <v>75</v>
      </c>
      <c r="K43" s="7">
        <v>75</v>
      </c>
      <c r="L43" s="10"/>
    </row>
    <row r="44" ht="32" spans="1:12">
      <c r="A44" s="7" t="s">
        <v>11</v>
      </c>
      <c r="B44" s="8">
        <v>45966.6741898148</v>
      </c>
      <c r="C44" s="1">
        <v>45966.6766319444</v>
      </c>
      <c r="D44" s="7">
        <f t="shared" si="0"/>
        <v>3.51666666101664</v>
      </c>
      <c r="E44" s="7" t="s">
        <v>55</v>
      </c>
      <c r="F44" s="7">
        <v>100</v>
      </c>
      <c r="G44" s="7">
        <v>75</v>
      </c>
      <c r="H44" s="7">
        <v>100</v>
      </c>
      <c r="I44" s="7">
        <v>25</v>
      </c>
      <c r="J44" s="7">
        <v>100</v>
      </c>
      <c r="K44" s="7">
        <v>100</v>
      </c>
      <c r="L44" s="10"/>
    </row>
    <row r="45" spans="1:12">
      <c r="A45" s="7" t="s">
        <v>11</v>
      </c>
      <c r="B45" s="8">
        <v>45966.7119791667</v>
      </c>
      <c r="C45" s="1">
        <v>45966.7138078704</v>
      </c>
      <c r="D45" s="7">
        <f t="shared" si="0"/>
        <v>2.63333333074115</v>
      </c>
      <c r="E45" s="7" t="s">
        <v>56</v>
      </c>
      <c r="F45" s="7">
        <v>75</v>
      </c>
      <c r="G45" s="7">
        <v>100</v>
      </c>
      <c r="H45" s="7">
        <v>100</v>
      </c>
      <c r="I45" s="7">
        <v>0</v>
      </c>
      <c r="J45" s="7">
        <v>100</v>
      </c>
      <c r="K45" s="7">
        <v>100</v>
      </c>
      <c r="L45" s="10"/>
    </row>
    <row r="46" spans="1:12">
      <c r="A46" s="7" t="s">
        <v>13</v>
      </c>
      <c r="B46" s="8">
        <v>45966.7711689815</v>
      </c>
      <c r="C46" s="3">
        <v>45966.772349537</v>
      </c>
      <c r="D46" s="7">
        <f t="shared" si="0"/>
        <v>1.69999999925494</v>
      </c>
      <c r="E46" s="7" t="s">
        <v>57</v>
      </c>
      <c r="F46" s="7">
        <v>75</v>
      </c>
      <c r="G46" s="7">
        <v>100</v>
      </c>
      <c r="H46" s="7">
        <v>75</v>
      </c>
      <c r="I46" s="7">
        <v>50</v>
      </c>
      <c r="J46" s="7">
        <v>75</v>
      </c>
      <c r="K46" s="7">
        <v>75</v>
      </c>
      <c r="L46" s="10"/>
    </row>
    <row r="47" spans="1:12">
      <c r="A47" s="7" t="s">
        <v>11</v>
      </c>
      <c r="B47" s="8">
        <v>45966.8074537037</v>
      </c>
      <c r="C47" s="1">
        <v>45966.8099768519</v>
      </c>
      <c r="D47" s="7">
        <f t="shared" si="0"/>
        <v>3.63333333400078</v>
      </c>
      <c r="E47" s="7" t="s">
        <v>58</v>
      </c>
      <c r="F47" s="7">
        <v>100</v>
      </c>
      <c r="G47" s="7">
        <v>100</v>
      </c>
      <c r="H47" s="7">
        <v>100</v>
      </c>
      <c r="I47" s="7">
        <v>0</v>
      </c>
      <c r="J47" s="7">
        <v>100</v>
      </c>
      <c r="K47" s="7">
        <v>75</v>
      </c>
      <c r="L47" s="10"/>
    </row>
    <row r="48" ht="32" spans="1:12">
      <c r="A48" s="7" t="s">
        <v>11</v>
      </c>
      <c r="B48" s="8">
        <v>45966.8459143518</v>
      </c>
      <c r="C48" s="1">
        <v>45966.8486689815</v>
      </c>
      <c r="D48" s="7">
        <f t="shared" si="0"/>
        <v>3.96666667191312</v>
      </c>
      <c r="E48" s="7" t="s">
        <v>59</v>
      </c>
      <c r="F48" s="7">
        <v>50</v>
      </c>
      <c r="G48" s="7">
        <v>25</v>
      </c>
      <c r="H48" s="7">
        <v>50</v>
      </c>
      <c r="I48" s="7">
        <v>0</v>
      </c>
      <c r="J48" s="7">
        <v>100</v>
      </c>
      <c r="K48" s="7">
        <v>75</v>
      </c>
      <c r="L48" s="10"/>
    </row>
    <row r="49" spans="1:11">
      <c r="A49" s="7" t="s">
        <v>11</v>
      </c>
      <c r="B49" s="8">
        <v>45967.4255439815</v>
      </c>
      <c r="C49" s="1">
        <v>45967.4283333333</v>
      </c>
      <c r="D49" s="7">
        <f t="shared" si="0"/>
        <v>4.01666667312384</v>
      </c>
      <c r="E49" s="7" t="s">
        <v>60</v>
      </c>
      <c r="F49" s="5">
        <v>100</v>
      </c>
      <c r="G49" s="5">
        <v>100</v>
      </c>
      <c r="H49" s="5">
        <v>100</v>
      </c>
      <c r="I49" s="5">
        <v>100</v>
      </c>
      <c r="J49" s="5">
        <v>100</v>
      </c>
      <c r="K49" s="5">
        <v>100</v>
      </c>
    </row>
    <row r="50" ht="32" spans="1:11">
      <c r="A50" s="7" t="s">
        <v>13</v>
      </c>
      <c r="B50" s="8">
        <v>45967.7223958333</v>
      </c>
      <c r="C50" s="3">
        <v>45967.7234953704</v>
      </c>
      <c r="D50" s="7">
        <f t="shared" si="0"/>
        <v>1.5833333262708</v>
      </c>
      <c r="E50" s="7" t="s">
        <v>61</v>
      </c>
      <c r="F50" s="5">
        <v>75</v>
      </c>
      <c r="G50" s="5">
        <v>75</v>
      </c>
      <c r="H50" s="5">
        <v>100</v>
      </c>
      <c r="I50" s="5">
        <v>0</v>
      </c>
      <c r="J50" s="5">
        <v>50</v>
      </c>
      <c r="K50" s="5">
        <v>75</v>
      </c>
    </row>
  </sheetData>
  <autoFilter ref="A1:A5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9"/>
  <sheetViews>
    <sheetView topLeftCell="B1" workbookViewId="0">
      <selection activeCell="D13" sqref="D13"/>
    </sheetView>
  </sheetViews>
  <sheetFormatPr defaultColWidth="9.23076923076923" defaultRowHeight="16.8"/>
  <cols>
    <col min="1" max="1" width="40.8557692307692" customWidth="1"/>
    <col min="4" max="4" width="39.5769230769231" customWidth="1"/>
    <col min="5" max="5" width="28.1923076923077" customWidth="1"/>
    <col min="6" max="11" width="12.9230769230769"/>
    <col min="12" max="12" width="20.6730769230769" customWidth="1"/>
  </cols>
  <sheetData>
    <row r="1" ht="17.6" spans="1:12">
      <c r="A1" s="1">
        <v>45964.5964236111</v>
      </c>
      <c r="C1" s="2"/>
      <c r="E1" s="2" t="s">
        <v>3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66</v>
      </c>
    </row>
    <row r="2" spans="1:12">
      <c r="A2" s="3">
        <v>45964.6545949074</v>
      </c>
      <c r="C2" s="2" t="s">
        <v>63</v>
      </c>
      <c r="D2" s="2" t="s">
        <v>67</v>
      </c>
      <c r="E2" s="2">
        <v>3.02638889086666</v>
      </c>
      <c r="F2" s="2">
        <v>87.5</v>
      </c>
      <c r="G2" s="2">
        <v>87.5</v>
      </c>
      <c r="H2" s="2">
        <v>87.5</v>
      </c>
      <c r="I2" s="2">
        <v>10.4166666666667</v>
      </c>
      <c r="J2" s="2">
        <v>92.7083333333333</v>
      </c>
      <c r="K2" s="2">
        <v>88.5416666666667</v>
      </c>
      <c r="L2" s="2">
        <v>75.6944444444444</v>
      </c>
    </row>
    <row r="3" spans="1:12">
      <c r="A3" s="3">
        <v>45964.6813773148</v>
      </c>
      <c r="C3" s="2"/>
      <c r="D3" s="2" t="s">
        <v>68</v>
      </c>
      <c r="E3" s="2">
        <v>2.50799999660812</v>
      </c>
      <c r="F3" s="2">
        <v>69</v>
      </c>
      <c r="G3" s="2">
        <v>72</v>
      </c>
      <c r="H3" s="2">
        <v>73</v>
      </c>
      <c r="I3" s="2">
        <v>40</v>
      </c>
      <c r="J3" s="2">
        <v>65</v>
      </c>
      <c r="K3" s="2">
        <v>69</v>
      </c>
      <c r="L3" s="2">
        <v>64.6666666666667</v>
      </c>
    </row>
    <row r="4" spans="1:12">
      <c r="A4" s="1">
        <v>45965.3428703704</v>
      </c>
      <c r="C4" s="2"/>
      <c r="D4" s="2" t="s">
        <v>69</v>
      </c>
      <c r="E4" s="2">
        <v>2.76290476114291</v>
      </c>
      <c r="F4" s="2">
        <v>78.0612244897959</v>
      </c>
      <c r="G4" s="2">
        <v>79.5918367346939</v>
      </c>
      <c r="H4" s="2">
        <v>80.1020408163265</v>
      </c>
      <c r="I4" s="2">
        <v>25.5102040816327</v>
      </c>
      <c r="J4" s="2">
        <v>78.5714285714286</v>
      </c>
      <c r="K4" s="2">
        <v>78.5714285714286</v>
      </c>
      <c r="L4" s="2">
        <v>70.0680272108844</v>
      </c>
    </row>
    <row r="5" spans="1:11">
      <c r="A5" s="3">
        <v>45965.3782407407</v>
      </c>
      <c r="D5" s="2"/>
      <c r="E5" s="2"/>
      <c r="F5" s="2"/>
      <c r="G5" s="2"/>
      <c r="H5" s="2"/>
      <c r="I5" s="2"/>
      <c r="J5" s="2"/>
      <c r="K5" s="2"/>
    </row>
    <row r="6" spans="1:12">
      <c r="A6" s="3">
        <v>45965.3852893518</v>
      </c>
      <c r="C6" s="2" t="s">
        <v>65</v>
      </c>
      <c r="D6" s="2" t="s">
        <v>67</v>
      </c>
      <c r="E6" s="2">
        <v>0.729881809291215</v>
      </c>
      <c r="F6" s="2">
        <v>25.5376959227625</v>
      </c>
      <c r="G6" s="2">
        <v>19.5047374401373</v>
      </c>
      <c r="H6" s="2">
        <v>19.5047374401373</v>
      </c>
      <c r="I6" s="2">
        <v>23.2152810743768</v>
      </c>
      <c r="J6" s="2">
        <v>13.7508234272547</v>
      </c>
      <c r="K6" s="2">
        <v>16.450133253502</v>
      </c>
      <c r="L6">
        <v>19.6605680930284</v>
      </c>
    </row>
    <row r="7" spans="1:12">
      <c r="A7" s="3">
        <v>45965.3887731481</v>
      </c>
      <c r="C7" s="2"/>
      <c r="D7" s="2" t="s">
        <v>68</v>
      </c>
      <c r="E7" s="2">
        <v>1.19618529498706</v>
      </c>
      <c r="F7" s="2">
        <v>19.4722024092465</v>
      </c>
      <c r="G7" s="2">
        <v>23.1840462387393</v>
      </c>
      <c r="H7" s="2">
        <v>17.5594229214212</v>
      </c>
      <c r="I7" s="2">
        <v>31.4576434802948</v>
      </c>
      <c r="J7" s="2">
        <v>16.1374306091976</v>
      </c>
      <c r="K7" s="2">
        <v>14.9303940559741</v>
      </c>
      <c r="L7">
        <v>20.4568566191456</v>
      </c>
    </row>
    <row r="8" spans="1:12">
      <c r="A8" s="3">
        <v>45965.396087963</v>
      </c>
      <c r="D8" s="2" t="s">
        <v>69</v>
      </c>
      <c r="E8">
        <v>1.01943498412601</v>
      </c>
      <c r="F8">
        <v>24.2773970351585</v>
      </c>
      <c r="G8">
        <v>22.6347063593233</v>
      </c>
      <c r="H8">
        <v>19.7507857417108</v>
      </c>
      <c r="I8">
        <v>31.245748010049</v>
      </c>
      <c r="J8">
        <v>20.4124145231931</v>
      </c>
      <c r="K8">
        <v>18.3995018048497</v>
      </c>
      <c r="L8">
        <v>22.7867589123807</v>
      </c>
    </row>
    <row r="9" spans="1:1">
      <c r="A9" s="1">
        <v>45965.4013657407</v>
      </c>
    </row>
    <row r="10" spans="1:4">
      <c r="A10" s="1">
        <v>45965.4066550926</v>
      </c>
      <c r="D10" s="2"/>
    </row>
    <row r="11" spans="1:4">
      <c r="A11" s="1">
        <v>45965.4110300926</v>
      </c>
      <c r="D11" s="2"/>
    </row>
    <row r="12" spans="1:4">
      <c r="A12" s="3">
        <v>45965.4158564815</v>
      </c>
      <c r="D12" s="2"/>
    </row>
    <row r="13" spans="1:1">
      <c r="A13" s="1">
        <v>45965.4212152778</v>
      </c>
    </row>
    <row r="14" spans="1:1">
      <c r="A14" s="1">
        <v>45965.4310416667</v>
      </c>
    </row>
    <row r="15" spans="1:1">
      <c r="A15" s="3">
        <v>45965.4365625</v>
      </c>
    </row>
    <row r="16" spans="1:1">
      <c r="A16" s="3">
        <v>45965.4412037037</v>
      </c>
    </row>
    <row r="17" spans="1:1">
      <c r="A17" s="3">
        <v>45965.4457986111</v>
      </c>
    </row>
    <row r="18" spans="1:1">
      <c r="A18" s="1">
        <v>45965.4510763889</v>
      </c>
    </row>
    <row r="19" spans="1:1">
      <c r="A19" s="3">
        <v>45965.4551041667</v>
      </c>
    </row>
    <row r="20" spans="1:1">
      <c r="A20" s="3">
        <v>45965.4595949074</v>
      </c>
    </row>
    <row r="21" spans="1:1">
      <c r="A21" s="1">
        <v>45965.4644212963</v>
      </c>
    </row>
    <row r="22" spans="1:1">
      <c r="A22" s="3">
        <v>45965.468912037</v>
      </c>
    </row>
    <row r="23" spans="1:1">
      <c r="A23" s="3">
        <v>45965.4721990741</v>
      </c>
    </row>
    <row r="24" spans="1:1">
      <c r="A24" s="3">
        <v>45965.4780671296</v>
      </c>
    </row>
    <row r="25" spans="1:1">
      <c r="A25" s="1">
        <v>45965.4830671296</v>
      </c>
    </row>
    <row r="26" spans="1:1">
      <c r="A26" s="3">
        <v>45965.4880324074</v>
      </c>
    </row>
    <row r="27" spans="1:1">
      <c r="A27" s="1">
        <v>45965.5583333333</v>
      </c>
    </row>
    <row r="28" spans="1:1">
      <c r="A28" s="1">
        <v>45965.5883101852</v>
      </c>
    </row>
    <row r="29" spans="1:1">
      <c r="A29" s="3">
        <v>45965.6472800926</v>
      </c>
    </row>
    <row r="30" spans="1:1">
      <c r="A30" s="1">
        <v>45965.6792361111</v>
      </c>
    </row>
    <row r="31" spans="1:1">
      <c r="A31" s="1">
        <v>45965.715</v>
      </c>
    </row>
    <row r="32" spans="1:1">
      <c r="A32" s="1">
        <v>45965.767962963</v>
      </c>
    </row>
    <row r="33" spans="1:1">
      <c r="A33" s="1">
        <v>45965.8042708333</v>
      </c>
    </row>
    <row r="34" spans="1:1">
      <c r="A34" s="3">
        <v>45965.8414699074</v>
      </c>
    </row>
    <row r="35" spans="1:1">
      <c r="A35" s="1">
        <v>45966.3669907407</v>
      </c>
    </row>
    <row r="36" spans="1:1">
      <c r="A36" s="3">
        <v>45966.3987037037</v>
      </c>
    </row>
    <row r="37" spans="1:1">
      <c r="A37" s="3">
        <v>45966.4315856481</v>
      </c>
    </row>
    <row r="38" spans="1:1">
      <c r="A38" s="1">
        <v>45966.4636226852</v>
      </c>
    </row>
    <row r="39" spans="1:1">
      <c r="A39" s="3">
        <v>45966.5160532407</v>
      </c>
    </row>
    <row r="40" spans="1:1">
      <c r="A40" s="3">
        <v>45966.554537037</v>
      </c>
    </row>
    <row r="41" spans="1:1">
      <c r="A41" s="1">
        <v>45966.6134837963</v>
      </c>
    </row>
    <row r="42" spans="1:1">
      <c r="A42" s="3">
        <v>45966.6459953704</v>
      </c>
    </row>
    <row r="43" spans="1:1">
      <c r="A43" s="1">
        <v>45966.6766319444</v>
      </c>
    </row>
    <row r="44" spans="1:1">
      <c r="A44" s="1">
        <v>45966.7138078704</v>
      </c>
    </row>
    <row r="45" spans="1:1">
      <c r="A45" s="3">
        <v>45966.772349537</v>
      </c>
    </row>
    <row r="46" spans="1:1">
      <c r="A46" s="1">
        <v>45966.8099768519</v>
      </c>
    </row>
    <row r="47" spans="1:1">
      <c r="A47" s="1">
        <v>45966.8486689815</v>
      </c>
    </row>
    <row r="48" spans="1:1">
      <c r="A48" s="1">
        <v>45967.4283333333</v>
      </c>
    </row>
    <row r="49" spans="1:1">
      <c r="A49" s="3">
        <v>45967.7234953704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插入数据</vt:lpstr>
      <vt:lpstr>不插入</vt:lpstr>
      <vt:lpstr>不插入2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lane</dc:creator>
  <cp:lastModifiedBy>WPS_1723214861</cp:lastModifiedBy>
  <dcterms:created xsi:type="dcterms:W3CDTF">2025-11-08T17:11:09Z</dcterms:created>
  <dcterms:modified xsi:type="dcterms:W3CDTF">2025-11-09T11:35:16Z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37B4D60AED58B9A12D090F694076FE73_41</vt:lpwstr>
  </property>
  <property fmtid="{D5CDD505-2E9C-101B-9397-08002B2CF9AE}" pid="3" name="KSOProductBuildVer">
    <vt:lpwstr>2052-6.7.1.8828</vt:lpwstr>
  </property>
</Properties>
</file>